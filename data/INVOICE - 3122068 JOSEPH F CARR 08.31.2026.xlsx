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08-31-2026\New folder\PO sended\"/>
    </mc:Choice>
  </mc:AlternateContent>
  <xr:revisionPtr revIDLastSave="0" documentId="13_ncr:1_{04E4B6E3-33B4-4E20-9610-0DA2F0C8360C}" xr6:coauthVersionLast="47" xr6:coauthVersionMax="47" xr10:uidLastSave="{00000000-0000-0000-0000-000000000000}"/>
  <bookViews>
    <workbookView xWindow="-120" yWindow="-120" windowWidth="29040" windowHeight="15720" xr2:uid="{00000000-000D-0000-FFFF-FFFF00000000}"/>
  </bookViews>
  <sheets>
    <sheet name="Sales Invoice" sheetId="1" r:id="rId1"/>
  </sheets>
  <definedNames>
    <definedName name="_xlnm.Print_Area" localSheetId="0">'Sales Invoice'!$A$1:$I$233</definedName>
  </definedNames>
  <calcPr calcId="181029" refMode="R1C1"/>
</workbook>
</file>

<file path=xl/calcChain.xml><?xml version="1.0" encoding="utf-8"?>
<calcChain xmlns="http://schemas.openxmlformats.org/spreadsheetml/2006/main">
  <c r="H27" i="1" l="1"/>
  <c r="C7" i="1" l="1"/>
  <c r="H62" i="1" l="1"/>
  <c r="A62" i="1" l="1"/>
</calcChain>
</file>

<file path=xl/sharedStrings.xml><?xml version="1.0" encoding="utf-8"?>
<sst xmlns="http://schemas.openxmlformats.org/spreadsheetml/2006/main" count="40" uniqueCount="40">
  <si>
    <t>DATE:</t>
  </si>
  <si>
    <t>SALESPERSON</t>
  </si>
  <si>
    <t>SHIP DATE</t>
  </si>
  <si>
    <t>SHIP VIA</t>
  </si>
  <si>
    <t>TERMS</t>
  </si>
  <si>
    <t>Great Neck NY 11021</t>
  </si>
  <si>
    <t>TRACKING</t>
  </si>
  <si>
    <t>FREIGHT</t>
  </si>
  <si>
    <t>TAX</t>
  </si>
  <si>
    <t>MISCELLANEOUS</t>
  </si>
  <si>
    <t>DISCOUNT</t>
  </si>
  <si>
    <t>PRODUCT TOTAL</t>
  </si>
  <si>
    <t>COMMENTS OR SPECIAL INSTRUCTIONS:</t>
  </si>
  <si>
    <t>BILL TO:</t>
  </si>
  <si>
    <t>SHIP TO:</t>
  </si>
  <si>
    <t>INVOICE #:</t>
  </si>
  <si>
    <t>LINE#</t>
  </si>
  <si>
    <t>QUANTITY</t>
  </si>
  <si>
    <t>UNIT PRICE</t>
  </si>
  <si>
    <t>AMOUNT</t>
  </si>
  <si>
    <t>505 Northern Boulevard Suite 209</t>
  </si>
  <si>
    <t>INVOICE</t>
  </si>
  <si>
    <t>SD</t>
  </si>
  <si>
    <t>INVOICE TOTAL</t>
  </si>
  <si>
    <t>www.nassaunationalcable.com</t>
  </si>
  <si>
    <t xml:space="preserve">For questions contact email grai@nassaunationalcable.com </t>
  </si>
  <si>
    <t>CUSTOMER PO#</t>
  </si>
  <si>
    <t>WE WILL SHARE THE TRACKING NUMBER AS SOON AS IT’S AVAILABLE TO THE SAME EMAIL USER FOR THE INVOICE</t>
  </si>
  <si>
    <t>s</t>
  </si>
  <si>
    <t>+</t>
  </si>
  <si>
    <t>COLOR WILL BE DEFAULT TO MANUFACTURER SPECIFICATIONS. WHEN A SPECIFIC COLOR IS REQUIRED AT TIME OF ORDER WE URGE YOU TO REVIEW THE INVOICE WITHIN 24 HOURS AND EMAIL US OTHERWISE IT WILL BE DEFAULTED TO WHATEVER IS IN STOCK</t>
  </si>
  <si>
    <t>Make all checks payable to Nassau National Cable Corporation</t>
  </si>
  <si>
    <t>PAID</t>
  </si>
  <si>
    <t>Phone (516) 482-6313   Fax (516) 960-0589</t>
  </si>
  <si>
    <t>DESCRIPTION</t>
  </si>
  <si>
    <t xml:space="preserve">           </t>
  </si>
  <si>
    <r>
      <rPr>
        <b/>
        <sz val="26"/>
        <rFont val="Myriad Web Pro"/>
      </rPr>
      <t xml:space="preserve">PLEASE REMIT TO: </t>
    </r>
    <r>
      <rPr>
        <sz val="26"/>
        <rFont val="Myriad Web Pro"/>
        <family val="2"/>
      </rPr>
      <t xml:space="preserve">
NASSAU NATIONAL CABLE 
505 NORTHERN BLVD. STE 209. 
GREAT NECK, NY 11021</t>
    </r>
  </si>
  <si>
    <t>JOSEPH F CARR
7935 BENCHMARK DR
FLOWERY BRANCH, GA 30542
UNITED STATES
1-304-400-3209</t>
  </si>
  <si>
    <t>BELDEN 27138A 10 AWG 2 CONDUCTOR 7X18 STRANDING BARE COPPER 600V MULTI-CONDUCTOR CABLE (2X500')</t>
  </si>
  <si>
    <t>TRYHARD LOGISTICS 
5717 F ST
OMAHA, NE 68117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</si>
</sst>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 numFmtId="169" formatCode="&quot;$&quot;#,##0.00"/>
  </numFmts>
  <fonts count="25">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sz val="32"/>
      <color rgb="FF111111"/>
      <name val="Arial"/>
      <family val="2"/>
    </font>
    <font>
      <b/>
      <sz val="26"/>
      <name val="Myriad Web Pro"/>
    </font>
    <font>
      <sz val="26"/>
      <name val="Myriad Web Pro"/>
    </font>
    <font>
      <u/>
      <sz val="32"/>
      <color indexed="12"/>
      <name val="Arial"/>
      <family val="2"/>
    </font>
    <font>
      <b/>
      <sz val="32"/>
      <name val="Myriad Web Pro"/>
    </font>
    <font>
      <sz val="30"/>
      <name val="Myriad Web Pro"/>
    </font>
    <font>
      <b/>
      <sz val="30"/>
      <name val="Myriad Web Pro"/>
    </font>
    <font>
      <sz val="9"/>
      <name val="Arial"/>
      <family val="2"/>
    </font>
    <font>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1">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166" fontId="10" fillId="0" borderId="0" xfId="0" applyNumberFormat="1" applyFont="1" applyAlignment="1">
      <alignment horizontal="left" shrinkToFit="1"/>
    </xf>
    <xf numFmtId="0" fontId="11" fillId="0" borderId="0" xfId="0" applyFont="1" applyAlignment="1">
      <alignment horizontal="left"/>
    </xf>
    <xf numFmtId="0" fontId="11" fillId="0" borderId="0" xfId="0" applyFont="1" applyAlignment="1">
      <alignment vertical="top"/>
    </xf>
    <xf numFmtId="0" fontId="10" fillId="0" borderId="0" xfId="0" applyFont="1" applyAlignment="1">
      <alignment wrapText="1"/>
    </xf>
    <xf numFmtId="0" fontId="11" fillId="2" borderId="5" xfId="0" applyFont="1" applyFill="1" applyBorder="1" applyAlignment="1">
      <alignment horizontal="center" vertical="center"/>
    </xf>
    <xf numFmtId="0" fontId="11" fillId="2" borderId="4" xfId="0" applyFont="1" applyFill="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168" fontId="10" fillId="0" borderId="1" xfId="2"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1" fillId="2" borderId="4" xfId="0" applyNumberFormat="1" applyFont="1" applyFill="1" applyBorder="1" applyAlignment="1">
      <alignment horizontal="center" vertical="center"/>
    </xf>
    <xf numFmtId="164" fontId="11" fillId="2" borderId="4" xfId="0" applyNumberFormat="1" applyFont="1" applyFill="1" applyBorder="1" applyAlignment="1">
      <alignment horizontal="center" vertical="center"/>
    </xf>
    <xf numFmtId="0" fontId="11" fillId="0" borderId="0" xfId="0" applyFont="1" applyAlignment="1">
      <alignment horizontal="left" vertical="center"/>
    </xf>
    <xf numFmtId="0" fontId="13" fillId="0" borderId="0" xfId="0" applyFont="1" applyAlignment="1">
      <alignment horizontal="right"/>
    </xf>
    <xf numFmtId="0" fontId="14" fillId="0" borderId="0" xfId="0" applyFont="1"/>
    <xf numFmtId="0" fontId="15" fillId="0" borderId="0" xfId="0" applyFont="1"/>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0" fontId="12" fillId="0" borderId="0" xfId="0" applyFont="1" applyAlignment="1">
      <alignment wrapText="1"/>
    </xf>
    <xf numFmtId="0" fontId="19" fillId="0" borderId="0" xfId="3" applyFont="1" applyAlignment="1" applyProtection="1"/>
    <xf numFmtId="3" fontId="10" fillId="0" borderId="1" xfId="1" applyNumberFormat="1" applyFont="1" applyBorder="1" applyAlignment="1">
      <alignment horizontal="center"/>
    </xf>
    <xf numFmtId="8" fontId="10" fillId="0" borderId="1" xfId="2" applyNumberFormat="1" applyFont="1" applyBorder="1" applyAlignment="1">
      <alignment horizontal="center"/>
    </xf>
    <xf numFmtId="44" fontId="10" fillId="3" borderId="8" xfId="2" applyFont="1" applyFill="1" applyBorder="1" applyAlignment="1">
      <alignment horizontal="center"/>
    </xf>
    <xf numFmtId="0" fontId="10" fillId="0" borderId="0" xfId="0" applyFont="1" applyAlignment="1">
      <alignment horizontal="left" wrapText="1"/>
    </xf>
    <xf numFmtId="169" fontId="10" fillId="3" borderId="1" xfId="2" applyNumberFormat="1" applyFont="1" applyFill="1" applyBorder="1" applyAlignment="1">
      <alignment horizontal="center" vertical="center"/>
    </xf>
    <xf numFmtId="0" fontId="20" fillId="4" borderId="6" xfId="0" applyFont="1" applyFill="1" applyBorder="1" applyAlignment="1">
      <alignment horizontal="center" vertical="center"/>
    </xf>
    <xf numFmtId="0" fontId="10" fillId="0" borderId="4" xfId="0" quotePrefix="1" applyFont="1" applyBorder="1" applyAlignment="1">
      <alignment horizontal="center" vertical="center" wrapText="1"/>
    </xf>
    <xf numFmtId="0" fontId="10" fillId="0" borderId="0" xfId="0" applyFont="1" applyAlignment="1">
      <alignment horizontal="center" vertical="center"/>
    </xf>
    <xf numFmtId="0" fontId="8" fillId="0" borderId="2" xfId="0" applyFont="1" applyBorder="1" applyAlignment="1">
      <alignment vertical="center"/>
    </xf>
    <xf numFmtId="0" fontId="1" fillId="0" borderId="0" xfId="0" applyFont="1" applyAlignment="1">
      <alignment vertical="center"/>
    </xf>
    <xf numFmtId="0" fontId="23" fillId="0" borderId="0" xfId="0" applyFont="1"/>
    <xf numFmtId="0" fontId="16" fillId="0" borderId="0" xfId="0" applyFont="1" applyAlignment="1">
      <alignment horizontal="left" vertical="top" wrapText="1"/>
    </xf>
    <xf numFmtId="0" fontId="16" fillId="0" borderId="0" xfId="0" applyFont="1" applyAlignment="1">
      <alignment vertical="top" wrapText="1"/>
    </xf>
    <xf numFmtId="43" fontId="11" fillId="2" borderId="5" xfId="0" applyNumberFormat="1" applyFont="1" applyFill="1" applyBorder="1" applyAlignment="1">
      <alignment horizontal="center" vertical="center"/>
    </xf>
    <xf numFmtId="169" fontId="24" fillId="3" borderId="1" xfId="2" applyNumberFormat="1" applyFont="1" applyFill="1" applyBorder="1" applyAlignment="1">
      <alignment horizontal="center" vertical="center"/>
    </xf>
    <xf numFmtId="0" fontId="21" fillId="0" borderId="2" xfId="2" applyNumberFormat="1" applyFont="1" applyBorder="1" applyAlignment="1">
      <alignment vertical="top" wrapText="1"/>
    </xf>
    <xf numFmtId="0" fontId="21" fillId="0" borderId="0" xfId="2" applyNumberFormat="1" applyFont="1" applyBorder="1" applyAlignment="1">
      <alignment vertical="top" wrapText="1"/>
    </xf>
    <xf numFmtId="0" fontId="21" fillId="0" borderId="3" xfId="2" applyNumberFormat="1" applyFont="1" applyBorder="1" applyAlignment="1">
      <alignment vertical="top" wrapText="1"/>
    </xf>
    <xf numFmtId="8" fontId="10" fillId="0" borderId="5" xfId="2" applyNumberFormat="1" applyFont="1" applyBorder="1" applyAlignment="1">
      <alignment horizontal="center" vertical="center" wrapText="1"/>
    </xf>
    <xf numFmtId="44" fontId="10" fillId="0" borderId="7" xfId="2" applyFont="1" applyBorder="1" applyAlignment="1">
      <alignment horizontal="center" vertical="center"/>
    </xf>
    <xf numFmtId="44" fontId="10" fillId="0" borderId="5" xfId="2" applyFont="1" applyBorder="1" applyAlignment="1">
      <alignment horizontal="center" vertical="center"/>
    </xf>
    <xf numFmtId="44" fontId="11" fillId="3" borderId="8" xfId="0" applyNumberFormat="1" applyFont="1" applyFill="1" applyBorder="1" applyAlignment="1">
      <alignment horizontal="center" vertical="center"/>
    </xf>
    <xf numFmtId="0" fontId="0" fillId="0" borderId="0" xfId="0" applyAlignment="1">
      <alignment horizontal="center" vertical="center"/>
    </xf>
    <xf numFmtId="0" fontId="10" fillId="0" borderId="2" xfId="2" applyNumberFormat="1" applyFont="1" applyBorder="1" applyAlignment="1">
      <alignment horizontal="center" vertical="center"/>
    </xf>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6" fillId="0" borderId="0" xfId="0" applyFont="1" applyAlignment="1">
      <alignment horizontal="left" vertical="top" wrapText="1"/>
    </xf>
    <xf numFmtId="0" fontId="11" fillId="2" borderId="7" xfId="0" applyFont="1" applyFill="1" applyBorder="1" applyAlignment="1">
      <alignment horizontal="center" vertical="center"/>
    </xf>
    <xf numFmtId="0" fontId="11" fillId="2" borderId="5" xfId="0" applyFont="1" applyFill="1" applyBorder="1" applyAlignment="1">
      <alignment horizontal="center" vertical="center"/>
    </xf>
    <xf numFmtId="0" fontId="10" fillId="0" borderId="7" xfId="0" applyFont="1" applyBorder="1" applyAlignment="1">
      <alignment horizontal="center" vertical="center"/>
    </xf>
    <xf numFmtId="0" fontId="10" fillId="0" borderId="5" xfId="0" applyFont="1" applyBorder="1" applyAlignment="1">
      <alignment horizontal="center" vertical="center"/>
    </xf>
    <xf numFmtId="0" fontId="21" fillId="0" borderId="2" xfId="2" applyNumberFormat="1" applyFont="1" applyBorder="1" applyAlignment="1">
      <alignment horizontal="center" vertical="top" wrapText="1"/>
    </xf>
    <xf numFmtId="0" fontId="21" fillId="0" borderId="0" xfId="2" applyNumberFormat="1" applyFont="1" applyBorder="1" applyAlignment="1">
      <alignment horizontal="center" vertical="top" wrapText="1"/>
    </xf>
    <xf numFmtId="0" fontId="21" fillId="0" borderId="3" xfId="2" applyNumberFormat="1" applyFont="1" applyBorder="1" applyAlignment="1">
      <alignment horizontal="center" vertical="top" wrapText="1"/>
    </xf>
    <xf numFmtId="169" fontId="10" fillId="0" borderId="7" xfId="0" applyNumberFormat="1" applyFont="1" applyBorder="1" applyAlignment="1">
      <alignment horizontal="center" vertical="center"/>
    </xf>
    <xf numFmtId="44" fontId="10" fillId="0" borderId="5" xfId="0" applyNumberFormat="1" applyFont="1" applyBorder="1" applyAlignment="1">
      <alignment horizontal="center" vertical="center"/>
    </xf>
    <xf numFmtId="43" fontId="11" fillId="2" borderId="7" xfId="0" applyNumberFormat="1" applyFont="1" applyFill="1" applyBorder="1" applyAlignment="1">
      <alignment horizontal="center" vertical="center"/>
    </xf>
    <xf numFmtId="43" fontId="11" fillId="2" borderId="5" xfId="0" applyNumberFormat="1" applyFont="1" applyFill="1" applyBorder="1" applyAlignment="1">
      <alignment horizontal="center" vertical="center"/>
    </xf>
    <xf numFmtId="44" fontId="11" fillId="2" borderId="7" xfId="0" applyNumberFormat="1" applyFont="1" applyFill="1" applyBorder="1" applyAlignment="1">
      <alignment horizontal="center" vertical="center"/>
    </xf>
    <xf numFmtId="44" fontId="11" fillId="2" borderId="5" xfId="0" applyNumberFormat="1" applyFont="1" applyFill="1" applyBorder="1" applyAlignment="1">
      <alignment horizontal="center" vertical="center"/>
    </xf>
    <xf numFmtId="0" fontId="10" fillId="0" borderId="2" xfId="0"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8" fillId="0" borderId="0" xfId="0" applyFont="1" applyAlignment="1">
      <alignment horizontal="center" vertical="center" wrapText="1"/>
    </xf>
    <xf numFmtId="49" fontId="10" fillId="0" borderId="7"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2" borderId="11" xfId="0" applyFont="1" applyFill="1" applyBorder="1" applyAlignment="1">
      <alignment horizontal="center" vertical="center"/>
    </xf>
    <xf numFmtId="0" fontId="22" fillId="0" borderId="2" xfId="2" applyNumberFormat="1" applyFont="1" applyBorder="1" applyAlignment="1">
      <alignment horizontal="center" vertical="center" wrapText="1"/>
    </xf>
    <xf numFmtId="0" fontId="22" fillId="0" borderId="0" xfId="2" applyNumberFormat="1" applyFont="1" applyBorder="1" applyAlignment="1">
      <alignment horizontal="center" vertical="center" wrapText="1"/>
    </xf>
    <xf numFmtId="0" fontId="22" fillId="0" borderId="3" xfId="2" applyNumberFormat="1" applyFont="1" applyBorder="1" applyAlignment="1">
      <alignment horizontal="center" vertical="center" wrapText="1"/>
    </xf>
    <xf numFmtId="0" fontId="22" fillId="0" borderId="2" xfId="2" applyNumberFormat="1" applyFont="1" applyBorder="1" applyAlignment="1">
      <alignment horizontal="center" wrapText="1"/>
    </xf>
    <xf numFmtId="0" fontId="22" fillId="0" borderId="0" xfId="2" applyNumberFormat="1" applyFont="1" applyBorder="1" applyAlignment="1">
      <alignment horizontal="center" wrapText="1"/>
    </xf>
    <xf numFmtId="0" fontId="22" fillId="0" borderId="3" xfId="2" applyNumberFormat="1" applyFont="1" applyBorder="1" applyAlignment="1">
      <alignment horizontal="center" wrapText="1"/>
    </xf>
    <xf numFmtId="0" fontId="21" fillId="0" borderId="10" xfId="2" applyNumberFormat="1" applyFont="1" applyBorder="1" applyAlignment="1">
      <alignment horizontal="center" vertical="top" wrapText="1"/>
    </xf>
    <xf numFmtId="0" fontId="21" fillId="0" borderId="12" xfId="2" applyNumberFormat="1" applyFont="1" applyBorder="1" applyAlignment="1">
      <alignment horizontal="center" vertical="top" wrapText="1"/>
    </xf>
    <xf numFmtId="0" fontId="21" fillId="0" borderId="9" xfId="2" applyNumberFormat="1" applyFont="1" applyBorder="1" applyAlignment="1">
      <alignment horizontal="center" vertical="top" wrapText="1"/>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image" Target="../media/image1.png"/><Relationship Id="rId1" Type="http://schemas.openxmlformats.org/officeDocument/2006/relationships/hyperlink" Target="https://nassaunationalcable.com/"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533400</xdr:colOff>
      <xdr:row>65</xdr:row>
      <xdr:rowOff>128587</xdr:rowOff>
    </xdr:from>
    <xdr:to>
      <xdr:col>7</xdr:col>
      <xdr:colOff>2476500</xdr:colOff>
      <xdr:row>68</xdr:row>
      <xdr:rowOff>142875</xdr:rowOff>
    </xdr:to>
    <xdr:sp macro="" textlink="">
      <xdr:nvSpPr>
        <xdr:cNvPr id="1025" name="Text Box 1">
          <a:extLst>
            <a:ext uri="{FF2B5EF4-FFF2-40B4-BE49-F238E27FC236}">
              <a16:creationId xmlns:a16="http://schemas.microsoft.com/office/drawing/2014/main"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a:p>
          <a:pPr algn="ctr" rtl="0">
            <a:defRPr sz="1000"/>
          </a:pPr>
          <a:endParaRPr lang="en-US" sz="2000" b="1" i="0" strike="noStrike">
            <a:solidFill>
              <a:srgbClr val="000000"/>
            </a:solidFill>
            <a:latin typeface="Arial"/>
            <a:cs typeface="Arial"/>
          </a:endParaRPr>
        </a:p>
      </xdr:txBody>
    </xdr:sp>
    <xdr:clientData/>
  </xdr:twoCellAnchor>
  <xdr:twoCellAnchor editAs="oneCell">
    <xdr:from>
      <xdr:col>0</xdr:col>
      <xdr:colOff>95250</xdr:colOff>
      <xdr:row>0</xdr:row>
      <xdr:rowOff>63500</xdr:rowOff>
    </xdr:from>
    <xdr:to>
      <xdr:col>2</xdr:col>
      <xdr:colOff>973664</xdr:colOff>
      <xdr:row>1</xdr:row>
      <xdr:rowOff>444500</xdr:rowOff>
    </xdr:to>
    <xdr:pic>
      <xdr:nvPicPr>
        <xdr:cNvPr id="4" name="Picture 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0" y="63500"/>
          <a:ext cx="4720164" cy="1778000"/>
        </a:xfrm>
        <a:prstGeom prst="rect">
          <a:avLst/>
        </a:prstGeom>
      </xdr:spPr>
    </xdr:pic>
    <xdr:clientData/>
  </xdr:twoCellAnchor>
  <xdr:twoCellAnchor>
    <xdr:from>
      <xdr:col>0</xdr:col>
      <xdr:colOff>295274</xdr:colOff>
      <xdr:row>53</xdr:row>
      <xdr:rowOff>119062</xdr:rowOff>
    </xdr:from>
    <xdr:to>
      <xdr:col>7</xdr:col>
      <xdr:colOff>3214686</xdr:colOff>
      <xdr:row>59</xdr:row>
      <xdr:rowOff>404813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95274" y="28694062"/>
          <a:ext cx="21897975" cy="3429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a:t>
          </a:r>
        </a:p>
        <a:p>
          <a:r>
            <a:rPr lang="en-US" sz="2800" baseline="0"/>
            <a:t>NASSAU DOES NOT GUARANTEE ANY DELIVERY TIMES UNLESS SPECIFIED ON THE QUOTE</a:t>
          </a:r>
        </a:p>
        <a:p>
          <a:r>
            <a:rPr lang="en-US" sz="2800" baseline="0"/>
            <a:t>ALL QUOTES ARE IN FEET UNLESS OTHERWISE SPECIFIED ON THE BODY OF THE QUOTE.  </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xdr:txBody>
    </xdr:sp>
    <xdr:clientData/>
  </xdr:twoCellAnchor>
  <xdr:twoCellAnchor>
    <xdr:from>
      <xdr:col>0</xdr:col>
      <xdr:colOff>523875</xdr:colOff>
      <xdr:row>68</xdr:row>
      <xdr:rowOff>404812</xdr:rowOff>
    </xdr:from>
    <xdr:to>
      <xdr:col>8</xdr:col>
      <xdr:colOff>119062</xdr:colOff>
      <xdr:row>214</xdr:row>
      <xdr:rowOff>95250</xdr:rowOff>
    </xdr:to>
    <xdr:sp macro="" textlink="">
      <xdr:nvSpPr>
        <xdr:cNvPr id="2" name="TextBox 1">
          <a:extLst>
            <a:ext uri="{FF2B5EF4-FFF2-40B4-BE49-F238E27FC236}">
              <a16:creationId xmlns:a16="http://schemas.microsoft.com/office/drawing/2014/main" id="{0A077807-740E-4356-BEF7-8D7DABCD82E0}"/>
            </a:ext>
          </a:extLst>
        </xdr:cNvPr>
        <xdr:cNvSpPr txBox="1"/>
      </xdr:nvSpPr>
      <xdr:spPr>
        <a:xfrm>
          <a:off x="523875" y="35425062"/>
          <a:ext cx="22010687" cy="2702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t>INVOICE TERMS</a:t>
          </a:r>
        </a:p>
        <a:p>
          <a:pPr algn="l"/>
          <a:r>
            <a:rPr lang="en-US" sz="2800"/>
            <a:t>The Company</a:t>
          </a:r>
          <a:r>
            <a:rPr lang="en-US" sz="2800" baseline="0"/>
            <a:t> accepts and will fill your order only upon the terms and conditions appearing below. If these terms and conditions are not acceptable to you, please notify us at once. </a:t>
          </a:r>
        </a:p>
        <a:p>
          <a:pPr algn="l"/>
          <a:endParaRPr lang="en-US" sz="2800" baseline="0"/>
        </a:p>
        <a:p>
          <a:pPr algn="l"/>
          <a:r>
            <a:rPr lang="en-US" sz="2800" baseline="0"/>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p>
        <a:p>
          <a:pPr algn="l"/>
          <a:endParaRPr lang="en-US" sz="2800" baseline="0"/>
        </a:p>
        <a:p>
          <a:pPr algn="l"/>
          <a:r>
            <a:rPr lang="en-US" sz="2800" baseline="0"/>
            <a:t>	1. Shipping Details				</a:t>
          </a:r>
          <a:r>
            <a:rPr lang="en-US" sz="2800" baseline="0">
              <a:solidFill>
                <a:schemeClr val="dk1"/>
              </a:solidFill>
              <a:effectLst/>
              <a:latin typeface="+mn-lt"/>
              <a:ea typeface="+mn-ea"/>
              <a:cs typeface="+mn-cs"/>
            </a:rPr>
            <a:t>If goods are shipped FOB destination, we reserve the right to ship via the carrier of our choice. 											Where prepaid freight is included in the price, no 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responsiblity of the recipient ie. liftgate, redelivery charges etc</a:t>
          </a:r>
          <a:r>
            <a:rPr lang="en-US" sz="2800" baseline="0"/>
            <a:t>	</a:t>
          </a:r>
        </a:p>
        <a:p>
          <a:pPr algn="l"/>
          <a:endParaRPr lang="en-US" sz="2800" baseline="0"/>
        </a:p>
        <a:p>
          <a:pPr algn="l"/>
          <a:r>
            <a:rPr lang="en-US" sz="2800" baseline="0"/>
            <a:t>	2. Taxes					Exemptions from taxes or taxes charged are subject to reassessment by taxing authorities and 											exemptions made, or taxes charged to you, are without prejudice to our right to recover from you at 										any subsequent date, taxes improperly exempted or assessed.</a:t>
          </a:r>
        </a:p>
        <a:p>
          <a:pPr algn="l"/>
          <a:endParaRPr lang="en-US" sz="2800" baseline="0"/>
        </a:p>
        <a:p>
          <a:pPr algn="l"/>
          <a:r>
            <a:rPr lang="en-US" sz="2800" baseline="0"/>
            <a:t>	3. Returned Goods				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All orders are non returnable non cancellable unless specified 											otherwise.</a:t>
          </a:r>
        </a:p>
        <a:p>
          <a:pPr algn="l"/>
          <a:endParaRPr lang="en-US" sz="2800" baseline="0"/>
        </a:p>
        <a:p>
          <a:pPr algn="l"/>
          <a:r>
            <a:rPr lang="en-US" sz="2800" baseline="0"/>
            <a:t>	4. Damaged Goods				If there is any evidence of damage to reels, packages or contents, do not receive from the carrier "in 										good condition" but note damage on deliver receipt. In case of damage, no claims allowed after 48  										hours of receipt of goods.</a:t>
          </a:r>
        </a:p>
        <a:p>
          <a:pPr algn="l"/>
          <a:endParaRPr lang="en-US" sz="2800" baseline="0"/>
        </a:p>
        <a:p>
          <a:pPr algn="l"/>
          <a:r>
            <a:rPr lang="en-US" sz="2800" baseline="0"/>
            <a:t>	5. Warranty					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pPr algn="l"/>
          <a:endParaRPr lang="en-US" sz="2800" baseline="0"/>
        </a:p>
        <a:p>
          <a:pPr algn="l"/>
          <a:r>
            <a:rPr lang="en-US" sz="2800" baseline="0"/>
            <a:t>	6. Force Majeure				We shall not be responsible or liable, either directly or indirectly, for any loss or damage due to delay 									in delivery caused by war, hostilities, invasion, insurrection, riot, the order of any competent civil or 										military government or by fire, strikes, lockouts, labour disputes, lack of transportation facilities, 										shortages of raw materials, or by any other cause whether or not of a similar nature, which is 											unavoidable or beyond the reasonable control of The Company.	</a:t>
          </a:r>
        </a:p>
        <a:p>
          <a:pPr algn="l"/>
          <a:r>
            <a:rPr lang="en-US" sz="2800" baseline="0"/>
            <a:t>	</a:t>
          </a:r>
        </a:p>
        <a:p>
          <a:pPr algn="l"/>
          <a:r>
            <a:rPr lang="en-US" sz="2800" baseline="0"/>
            <a:t>	7. Payment of Goods			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pPr algn="l"/>
          <a:endParaRPr lang="en-US" sz="2800" baseline="0"/>
        </a:p>
        <a:p>
          <a:pPr algn="l"/>
          <a:r>
            <a:rPr lang="en-US" sz="2800" baseline="0"/>
            <a:t>	8. Specialty Orders				All Custom lengths that are not a multiple of 1000FT and specialty custom manufactured materials 										are non cancellable non- returnable unless the delivery drivers recieipt is clearly notated that it is the 									wrong material or it is rejected upon deliver, or Nassau is advised prior to delivery of a pending 										rejection in writing prior to delivery.  Once the goods are signed for clear to the driver the buyer 										cannot return the item.	</a:t>
          </a:r>
          <a:br>
            <a:rPr lang="en-US" sz="2800" baseline="0"/>
          </a:br>
          <a:r>
            <a:rPr lang="en-US" sz="2800" baseline="0"/>
            <a:t>		 	 								  	</a:t>
          </a:r>
          <a:br>
            <a:rPr lang="en-US" sz="2800" baseline="0"/>
          </a:br>
          <a:r>
            <a:rPr lang="en-US" sz="2800" baseline="0"/>
            <a:t>	9. Product Description			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Cable to proceed with the order as is.</a:t>
          </a:r>
        </a:p>
        <a:p>
          <a:pPr algn="l"/>
          <a:r>
            <a:rPr lang="en-US" sz="2800" baseline="0"/>
            <a:t>	</a:t>
          </a:r>
          <a:r>
            <a:rPr lang="en-US" sz="2800" baseline="0">
              <a:solidFill>
                <a:schemeClr val="dk1"/>
              </a:solidFill>
              <a:effectLst/>
              <a:latin typeface="+mn-lt"/>
              <a:ea typeface="+mn-ea"/>
              <a:cs typeface="+mn-cs"/>
            </a:rPr>
            <a:t>10. Government-Imposed </a:t>
          </a:r>
        </a:p>
        <a:p>
          <a:pPr algn="l"/>
          <a:r>
            <a:rPr lang="en-US" sz="2800" baseline="0">
              <a:solidFill>
                <a:schemeClr val="dk1"/>
              </a:solidFill>
              <a:effectLst/>
              <a:latin typeface="+mn-lt"/>
              <a:ea typeface="+mn-ea"/>
              <a:cs typeface="+mn-cs"/>
            </a:rPr>
            <a:t>                Tariffs and Fees			     	Due to the recent stipulations and spontaneous tariffs administered by the government, fees will be        									applicable to customers at the time of order. Unless otherwise specified.</a:t>
          </a:r>
          <a:endParaRPr lang="en-US" sz="2800"/>
        </a:p>
      </xdr:txBody>
    </xdr:sp>
    <xdr:clientData/>
  </xdr:twoCellAnchor>
  <xdr:twoCellAnchor>
    <xdr:from>
      <xdr:col>0</xdr:col>
      <xdr:colOff>280987</xdr:colOff>
      <xdr:row>48</xdr:row>
      <xdr:rowOff>428624</xdr:rowOff>
    </xdr:from>
    <xdr:to>
      <xdr:col>7</xdr:col>
      <xdr:colOff>3286123</xdr:colOff>
      <xdr:row>53</xdr:row>
      <xdr:rowOff>285750</xdr:rowOff>
    </xdr:to>
    <xdr:sp macro="" textlink="">
      <xdr:nvSpPr>
        <xdr:cNvPr id="7" name="TextBox 6">
          <a:extLst>
            <a:ext uri="{FF2B5EF4-FFF2-40B4-BE49-F238E27FC236}">
              <a16:creationId xmlns:a16="http://schemas.microsoft.com/office/drawing/2014/main" id="{EAC26F2C-0094-42EE-8E77-034B4F33FDEA}"/>
            </a:ext>
          </a:extLst>
        </xdr:cNvPr>
        <xdr:cNvSpPr txBox="1"/>
      </xdr:nvSpPr>
      <xdr:spPr>
        <a:xfrm>
          <a:off x="280987" y="26384249"/>
          <a:ext cx="21983699" cy="2476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a:solidFill>
                <a:srgbClr val="FF0000"/>
              </a:solidFill>
              <a:effectLst/>
              <a:latin typeface="+mn-lt"/>
              <a:ea typeface="+mn-ea"/>
              <a:cs typeface="+mn-cs"/>
            </a:rPr>
            <a:t>**FRAUD ALERT**</a:t>
          </a:r>
        </a:p>
        <a:p>
          <a:pPr algn="l"/>
          <a:r>
            <a:rPr lang="en-US" sz="2800" b="1" i="0">
              <a:solidFill>
                <a:srgbClr val="FF0000"/>
              </a:solidFill>
              <a:effectLst/>
              <a:latin typeface="+mn-lt"/>
              <a:ea typeface="+mn-ea"/>
              <a:cs typeface="+mn-cs"/>
            </a:rPr>
            <a:t>Effective immediately - Please be aware no Payment or Banking instructions will be changed in the near future. If you are instructed to make changes please contact our Accounts Receivable or Collections Department immediately.</a:t>
          </a:r>
        </a:p>
        <a:p>
          <a:pPr algn="l"/>
          <a:r>
            <a:rPr lang="en-US" sz="2800" b="1" i="0">
              <a:solidFill>
                <a:srgbClr val="FF0000"/>
              </a:solidFill>
              <a:effectLst/>
              <a:latin typeface="+mn-lt"/>
              <a:ea typeface="+mn-ea"/>
              <a:cs typeface="+mn-cs"/>
            </a:rPr>
            <a:t>We have numerous measures to prevent fraud which include a password to open all files containing bank information.</a:t>
          </a:r>
        </a:p>
        <a:p>
          <a:pPr algn="l"/>
          <a:r>
            <a:rPr lang="en-US" sz="2800" b="1" i="0">
              <a:solidFill>
                <a:srgbClr val="FF0000"/>
              </a:solidFill>
              <a:effectLst/>
              <a:latin typeface="+mn-lt"/>
              <a:ea typeface="+mn-ea"/>
              <a:cs typeface="+mn-cs"/>
            </a:rPr>
            <a:t>We can be reached at 516-482-6313 or email carango@nassaunationalcable.com.</a:t>
          </a:r>
          <a:endParaRPr lang="en-US" sz="2800">
            <a:solidFill>
              <a:srgbClr val="FF0000"/>
            </a:solidFill>
          </a:endParaRPr>
        </a:p>
      </xdr:txBody>
    </xdr:sp>
    <xdr:clientData/>
  </xdr:twoCellAnchor>
  <xdr:twoCellAnchor editAs="oneCell">
    <xdr:from>
      <xdr:col>6</xdr:col>
      <xdr:colOff>1555750</xdr:colOff>
      <xdr:row>0</xdr:row>
      <xdr:rowOff>1128724</xdr:rowOff>
    </xdr:from>
    <xdr:to>
      <xdr:col>8</xdr:col>
      <xdr:colOff>761999</xdr:colOff>
      <xdr:row>10</xdr:row>
      <xdr:rowOff>158750</xdr:rowOff>
    </xdr:to>
    <xdr:pic>
      <xdr:nvPicPr>
        <xdr:cNvPr id="8" name="Picture 7">
          <a:hlinkClick xmlns:r="http://schemas.openxmlformats.org/officeDocument/2006/relationships" r:id="rId3"/>
          <a:extLst>
            <a:ext uri="{FF2B5EF4-FFF2-40B4-BE49-F238E27FC236}">
              <a16:creationId xmlns:a16="http://schemas.microsoft.com/office/drawing/2014/main" id="{9963CD62-B6F7-4872-9373-74D043EC5ED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700500" y="1128724"/>
          <a:ext cx="6476999" cy="4808526"/>
        </a:xfrm>
        <a:prstGeom prst="rect">
          <a:avLst/>
        </a:prstGeom>
      </xdr:spPr>
    </xdr:pic>
    <xdr:clientData/>
  </xdr:twoCellAnchor>
  <xdr:oneCellAnchor>
    <xdr:from>
      <xdr:col>24</xdr:col>
      <xdr:colOff>142874</xdr:colOff>
      <xdr:row>186</xdr:row>
      <xdr:rowOff>142874</xdr:rowOff>
    </xdr:from>
    <xdr:ext cx="184731" cy="264560"/>
    <xdr:sp macro="" textlink="">
      <xdr:nvSpPr>
        <xdr:cNvPr id="5" name="TextBox 4">
          <a:extLst>
            <a:ext uri="{FF2B5EF4-FFF2-40B4-BE49-F238E27FC236}">
              <a16:creationId xmlns:a16="http://schemas.microsoft.com/office/drawing/2014/main" id="{6AAFE655-2980-589F-5B67-247E55555D2C}"/>
            </a:ext>
          </a:extLst>
        </xdr:cNvPr>
        <xdr:cNvSpPr txBox="1"/>
      </xdr:nvSpPr>
      <xdr:spPr>
        <a:xfrm>
          <a:off x="32837437" y="601741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assaunational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543"/>
  <sheetViews>
    <sheetView showGridLines="0" tabSelected="1" topLeftCell="A10" zoomScale="40" zoomScaleNormal="40" workbookViewId="0">
      <selection activeCell="U16" sqref="U16"/>
    </sheetView>
  </sheetViews>
  <sheetFormatPr defaultRowHeight="12.75"/>
  <cols>
    <col min="1" max="1" width="21.5703125" customWidth="1"/>
    <col min="2" max="2" width="36.140625" customWidth="1"/>
    <col min="3" max="3" width="49.5703125" customWidth="1"/>
    <col min="4" max="4" width="40.7109375" customWidth="1"/>
    <col min="5" max="5" width="36.7109375" customWidth="1"/>
    <col min="6" max="6" width="42.140625" customWidth="1"/>
    <col min="7" max="7" width="57.85546875" customWidth="1"/>
    <col min="8" max="8" width="50.85546875" customWidth="1"/>
    <col min="9" max="9" width="15.5703125" customWidth="1"/>
  </cols>
  <sheetData>
    <row r="1" spans="1:29" ht="110.25">
      <c r="A1" s="10"/>
      <c r="B1" s="11"/>
      <c r="C1" s="11"/>
      <c r="D1" s="11"/>
      <c r="E1" s="11"/>
      <c r="F1" s="11"/>
      <c r="G1" s="11"/>
      <c r="H1" s="37" t="s">
        <v>21</v>
      </c>
    </row>
    <row r="2" spans="1:29" ht="40.5">
      <c r="A2" s="12"/>
      <c r="B2" s="11"/>
      <c r="C2" s="11"/>
      <c r="D2" s="11"/>
      <c r="E2" s="11"/>
      <c r="F2" s="11"/>
      <c r="G2" s="11"/>
      <c r="H2" s="11"/>
    </row>
    <row r="3" spans="1:29" ht="40.5">
      <c r="A3" s="13" t="s">
        <v>20</v>
      </c>
      <c r="B3" s="11"/>
      <c r="C3" s="13"/>
      <c r="D3" s="13"/>
      <c r="E3" s="13"/>
      <c r="F3" s="13"/>
      <c r="G3" s="13"/>
      <c r="H3" s="13"/>
    </row>
    <row r="4" spans="1:29" ht="40.5">
      <c r="A4" s="13" t="s">
        <v>5</v>
      </c>
      <c r="B4" s="11"/>
      <c r="C4" s="13"/>
      <c r="D4" s="13"/>
      <c r="E4" s="13"/>
      <c r="F4" s="13"/>
      <c r="G4" s="13"/>
      <c r="H4" s="13"/>
    </row>
    <row r="5" spans="1:29" ht="40.5">
      <c r="A5" s="13" t="s">
        <v>33</v>
      </c>
      <c r="B5" s="11"/>
      <c r="C5" s="13"/>
      <c r="D5" s="13"/>
      <c r="E5" s="13"/>
      <c r="F5" s="13"/>
      <c r="G5" s="13"/>
      <c r="H5" s="13"/>
    </row>
    <row r="6" spans="1:29" ht="40.5">
      <c r="A6" s="44" t="s">
        <v>24</v>
      </c>
      <c r="B6" s="11"/>
      <c r="C6" s="13"/>
      <c r="D6" s="13"/>
      <c r="E6" s="13"/>
      <c r="F6" s="13"/>
      <c r="G6" s="13"/>
      <c r="H6" s="13"/>
    </row>
    <row r="7" spans="1:29" ht="41.25">
      <c r="A7" s="14" t="s">
        <v>0</v>
      </c>
      <c r="B7" s="11"/>
      <c r="C7" s="15">
        <f ca="1">TODAY()</f>
        <v>46265</v>
      </c>
      <c r="D7" s="13"/>
      <c r="E7" s="13"/>
      <c r="F7" s="13"/>
      <c r="G7" s="13"/>
      <c r="H7" s="13"/>
    </row>
    <row r="8" spans="1:29" ht="41.25">
      <c r="A8" s="16" t="s">
        <v>15</v>
      </c>
      <c r="B8" s="11"/>
      <c r="C8" s="48">
        <v>3122068</v>
      </c>
      <c r="D8" s="88" t="s">
        <v>36</v>
      </c>
      <c r="E8" s="88"/>
      <c r="F8" s="13"/>
      <c r="G8" s="13"/>
      <c r="H8" s="13"/>
    </row>
    <row r="9" spans="1:29" ht="19.5" customHeight="1">
      <c r="A9" s="13"/>
      <c r="B9" s="11"/>
      <c r="D9" s="88"/>
      <c r="E9" s="88"/>
      <c r="F9" s="43"/>
      <c r="G9" s="43"/>
      <c r="H9" s="13"/>
    </row>
    <row r="10" spans="1:29" ht="40.5">
      <c r="A10" s="13"/>
      <c r="B10" s="11"/>
      <c r="C10" s="43"/>
      <c r="D10" s="88"/>
      <c r="E10" s="88"/>
      <c r="F10" s="43"/>
      <c r="G10" s="43"/>
      <c r="H10" s="13"/>
    </row>
    <row r="11" spans="1:29" ht="40.5">
      <c r="A11" s="13"/>
      <c r="B11" s="11"/>
      <c r="C11" s="43"/>
      <c r="D11" s="88"/>
      <c r="E11" s="88"/>
      <c r="F11" s="13"/>
      <c r="G11" s="13"/>
      <c r="H11" s="13"/>
      <c r="Y11" t="s">
        <v>28</v>
      </c>
    </row>
    <row r="12" spans="1:29" ht="41.25">
      <c r="A12" s="14"/>
      <c r="B12" s="14" t="s">
        <v>13</v>
      </c>
      <c r="C12" s="43"/>
      <c r="D12" s="88"/>
      <c r="E12" s="88"/>
      <c r="G12" s="36" t="s">
        <v>14</v>
      </c>
      <c r="H12" s="13"/>
    </row>
    <row r="13" spans="1:29" ht="41.25" customHeight="1">
      <c r="A13" s="13"/>
      <c r="B13" s="71" t="s">
        <v>37</v>
      </c>
      <c r="C13" s="71"/>
      <c r="D13" s="71"/>
      <c r="E13" s="13"/>
      <c r="F13" s="13"/>
      <c r="G13" s="71" t="s">
        <v>39</v>
      </c>
      <c r="H13" s="71"/>
      <c r="I13" s="71"/>
      <c r="J13" s="71"/>
    </row>
    <row r="14" spans="1:29" ht="40.5">
      <c r="A14" s="13"/>
      <c r="B14" s="71"/>
      <c r="C14" s="71"/>
      <c r="D14" s="71"/>
      <c r="E14" s="13"/>
      <c r="F14" s="13"/>
      <c r="G14" s="71"/>
      <c r="H14" s="71"/>
      <c r="I14" s="71"/>
      <c r="J14" s="71"/>
    </row>
    <row r="15" spans="1:29" ht="40.5">
      <c r="A15" s="13"/>
      <c r="B15" s="71"/>
      <c r="C15" s="71"/>
      <c r="D15" s="71"/>
      <c r="E15" s="13"/>
      <c r="F15" s="13"/>
      <c r="G15" s="71"/>
      <c r="H15" s="71"/>
      <c r="I15" s="71"/>
      <c r="J15" s="71"/>
      <c r="AC15" t="s">
        <v>29</v>
      </c>
    </row>
    <row r="16" spans="1:29" ht="40.5">
      <c r="A16" s="13"/>
      <c r="B16" s="71"/>
      <c r="C16" s="71"/>
      <c r="D16" s="71"/>
      <c r="E16" s="13"/>
      <c r="F16" s="13"/>
      <c r="G16" s="71"/>
      <c r="H16" s="71"/>
      <c r="I16" s="71"/>
      <c r="J16" s="71"/>
    </row>
    <row r="17" spans="1:32" ht="40.5">
      <c r="A17" s="13"/>
      <c r="B17" s="71"/>
      <c r="C17" s="71"/>
      <c r="D17" s="71"/>
      <c r="E17" s="13"/>
      <c r="F17" s="13"/>
      <c r="G17" s="71"/>
      <c r="H17" s="71"/>
      <c r="I17" s="71"/>
      <c r="J17" s="71"/>
    </row>
    <row r="18" spans="1:32" ht="40.5">
      <c r="A18" s="13"/>
      <c r="B18" s="71"/>
      <c r="C18" s="71"/>
      <c r="D18" s="71"/>
      <c r="E18" s="13"/>
      <c r="F18" s="13"/>
      <c r="G18" s="71"/>
      <c r="H18" s="71"/>
      <c r="I18" s="71"/>
      <c r="J18" s="71"/>
    </row>
    <row r="19" spans="1:32" ht="40.5">
      <c r="A19" s="13"/>
      <c r="B19" s="71"/>
      <c r="C19" s="71"/>
      <c r="D19" s="71"/>
      <c r="E19" s="13"/>
      <c r="F19" s="13"/>
      <c r="G19" s="71"/>
      <c r="H19" s="71"/>
      <c r="I19" s="71"/>
      <c r="J19" s="71"/>
    </row>
    <row r="20" spans="1:32" ht="40.5">
      <c r="A20" s="13"/>
      <c r="B20" s="57"/>
      <c r="C20" s="57"/>
      <c r="D20" s="57"/>
      <c r="E20" s="13"/>
      <c r="F20" s="13"/>
      <c r="G20" s="56"/>
      <c r="H20" s="56"/>
      <c r="I20" s="56"/>
      <c r="J20" s="56"/>
    </row>
    <row r="21" spans="1:32" ht="41.25" customHeight="1">
      <c r="A21" s="17" t="s">
        <v>12</v>
      </c>
      <c r="B21" s="11"/>
      <c r="C21" s="13"/>
      <c r="D21" s="18"/>
      <c r="E21" s="18"/>
      <c r="F21" s="18"/>
      <c r="G21" s="57"/>
      <c r="H21" s="57"/>
      <c r="I21" s="57"/>
      <c r="J21" s="57"/>
    </row>
    <row r="22" spans="1:32" ht="42" thickBot="1">
      <c r="A22" s="11"/>
      <c r="B22" s="14"/>
      <c r="C22" s="13"/>
      <c r="D22" s="13"/>
      <c r="E22" s="13"/>
      <c r="F22" s="13"/>
      <c r="G22" s="13"/>
      <c r="H22" s="13"/>
    </row>
    <row r="23" spans="1:32" s="1" customFormat="1" ht="42" thickBot="1">
      <c r="A23" s="72" t="s">
        <v>1</v>
      </c>
      <c r="B23" s="73"/>
      <c r="C23" s="19" t="s">
        <v>26</v>
      </c>
      <c r="D23" s="20" t="s">
        <v>2</v>
      </c>
      <c r="E23" s="72" t="s">
        <v>6</v>
      </c>
      <c r="F23" s="73"/>
      <c r="G23" s="20" t="s">
        <v>3</v>
      </c>
      <c r="H23" s="19" t="s">
        <v>4</v>
      </c>
      <c r="J23"/>
      <c r="K23"/>
      <c r="L23"/>
      <c r="O23"/>
      <c r="Q23"/>
      <c r="AE23"/>
      <c r="AF23"/>
    </row>
    <row r="24" spans="1:32" s="1" customFormat="1" ht="49.5" customHeight="1" thickBot="1">
      <c r="A24" s="74" t="s">
        <v>22</v>
      </c>
      <c r="B24" s="75"/>
      <c r="C24" s="51"/>
      <c r="D24" s="51"/>
      <c r="E24" s="89"/>
      <c r="F24" s="90"/>
      <c r="G24" s="21"/>
      <c r="H24" s="50" t="s">
        <v>32</v>
      </c>
    </row>
    <row r="25" spans="1:32" ht="20.25" customHeight="1" thickBot="1">
      <c r="A25" s="22"/>
      <c r="B25" s="13"/>
      <c r="C25" s="13"/>
      <c r="D25" s="13"/>
      <c r="E25" s="13"/>
      <c r="F25" s="13"/>
      <c r="G25" s="13"/>
      <c r="H25" s="23"/>
    </row>
    <row r="26" spans="1:32" s="1" customFormat="1" ht="42" thickBot="1">
      <c r="A26" s="20" t="s">
        <v>16</v>
      </c>
      <c r="B26" s="19" t="s">
        <v>17</v>
      </c>
      <c r="C26" s="72" t="s">
        <v>34</v>
      </c>
      <c r="D26" s="91"/>
      <c r="E26" s="91"/>
      <c r="F26" s="73"/>
      <c r="G26" s="20" t="s">
        <v>18</v>
      </c>
      <c r="H26" s="20" t="s">
        <v>19</v>
      </c>
      <c r="Q26"/>
      <c r="R26"/>
    </row>
    <row r="27" spans="1:32" s="1" customFormat="1" ht="40.5" customHeight="1">
      <c r="A27" s="28">
        <v>1</v>
      </c>
      <c r="B27" s="45">
        <v>1000</v>
      </c>
      <c r="C27" s="98" t="s">
        <v>38</v>
      </c>
      <c r="D27" s="99"/>
      <c r="E27" s="99"/>
      <c r="F27" s="100"/>
      <c r="G27" s="46">
        <v>1.68</v>
      </c>
      <c r="H27" s="49">
        <f t="shared" ref="H27" si="0">B27*G27</f>
        <v>1680</v>
      </c>
    </row>
    <row r="28" spans="1:32" s="1" customFormat="1" ht="40.5" customHeight="1">
      <c r="A28" s="28"/>
      <c r="B28" s="45"/>
      <c r="C28" s="76"/>
      <c r="D28" s="77"/>
      <c r="E28" s="77"/>
      <c r="F28" s="78"/>
      <c r="G28" s="46"/>
      <c r="H28" s="49"/>
    </row>
    <row r="29" spans="1:32" s="1" customFormat="1" ht="40.5" customHeight="1">
      <c r="A29" s="28"/>
      <c r="B29" s="45"/>
      <c r="C29" s="60"/>
      <c r="D29" s="61"/>
      <c r="E29" s="61"/>
      <c r="F29" s="62"/>
      <c r="G29" s="46"/>
      <c r="H29" s="49"/>
    </row>
    <row r="30" spans="1:32" s="1" customFormat="1" ht="40.5" customHeight="1">
      <c r="A30" s="28"/>
      <c r="B30" s="45"/>
      <c r="C30" s="76"/>
      <c r="D30" s="77"/>
      <c r="E30" s="77"/>
      <c r="F30" s="78"/>
      <c r="G30" s="46"/>
      <c r="H30" s="49"/>
    </row>
    <row r="31" spans="1:32" s="1" customFormat="1" ht="40.5" customHeight="1">
      <c r="A31" s="45"/>
      <c r="B31" s="45"/>
      <c r="C31" s="76"/>
      <c r="D31" s="77"/>
      <c r="E31" s="77"/>
      <c r="F31" s="78"/>
      <c r="G31" s="46"/>
      <c r="H31" s="49"/>
    </row>
    <row r="32" spans="1:32" s="1" customFormat="1" ht="40.5" customHeight="1">
      <c r="A32" s="45"/>
      <c r="B32" s="45"/>
      <c r="C32" s="76"/>
      <c r="D32" s="77"/>
      <c r="E32" s="77"/>
      <c r="F32" s="78"/>
      <c r="G32" s="46"/>
      <c r="H32" s="49"/>
    </row>
    <row r="33" spans="1:8" s="1" customFormat="1" ht="40.5" customHeight="1">
      <c r="A33" s="45"/>
      <c r="B33" s="45"/>
      <c r="C33" s="76"/>
      <c r="D33" s="77"/>
      <c r="E33" s="77"/>
      <c r="F33" s="78"/>
      <c r="G33" s="46"/>
      <c r="H33" s="49"/>
    </row>
    <row r="34" spans="1:8" s="1" customFormat="1" ht="40.5" customHeight="1">
      <c r="A34" s="45"/>
      <c r="B34" s="45"/>
      <c r="C34" s="76"/>
      <c r="D34" s="77"/>
      <c r="E34" s="77"/>
      <c r="F34" s="78"/>
      <c r="G34" s="46"/>
      <c r="H34" s="49"/>
    </row>
    <row r="35" spans="1:8" s="1" customFormat="1" ht="40.5" customHeight="1">
      <c r="A35" s="28"/>
      <c r="B35" s="45"/>
      <c r="C35" s="76"/>
      <c r="D35" s="77"/>
      <c r="E35" s="77"/>
      <c r="F35" s="78"/>
      <c r="G35" s="46"/>
      <c r="H35" s="49"/>
    </row>
    <row r="36" spans="1:8" s="1" customFormat="1" ht="40.5" customHeight="1">
      <c r="A36" s="28"/>
      <c r="B36" s="45"/>
      <c r="C36" s="76"/>
      <c r="D36" s="77"/>
      <c r="E36" s="77"/>
      <c r="F36" s="78"/>
      <c r="G36" s="46"/>
      <c r="H36" s="49"/>
    </row>
    <row r="37" spans="1:8" s="1" customFormat="1" ht="40.5" customHeight="1">
      <c r="A37" s="28"/>
      <c r="B37" s="24"/>
      <c r="C37" s="76"/>
      <c r="D37" s="77"/>
      <c r="E37" s="77"/>
      <c r="F37" s="78"/>
      <c r="G37" s="46"/>
      <c r="H37" s="49"/>
    </row>
    <row r="38" spans="1:8" s="1" customFormat="1" ht="40.5" customHeight="1">
      <c r="A38" s="28"/>
      <c r="B38" s="24"/>
      <c r="C38" s="76"/>
      <c r="D38" s="77"/>
      <c r="E38" s="77"/>
      <c r="F38" s="78"/>
      <c r="G38" s="46"/>
      <c r="H38" s="49"/>
    </row>
    <row r="39" spans="1:8" s="1" customFormat="1" ht="40.5" customHeight="1">
      <c r="A39" s="28"/>
      <c r="B39" s="24"/>
      <c r="C39" s="76"/>
      <c r="D39" s="77"/>
      <c r="E39" s="77"/>
      <c r="F39" s="78"/>
      <c r="G39" s="46"/>
      <c r="H39" s="49"/>
    </row>
    <row r="40" spans="1:8" s="1" customFormat="1" ht="40.5" customHeight="1">
      <c r="A40" s="28"/>
      <c r="B40" s="24"/>
      <c r="C40" s="76"/>
      <c r="D40" s="77"/>
      <c r="E40" s="77"/>
      <c r="F40" s="78"/>
      <c r="G40" s="46"/>
      <c r="H40" s="49"/>
    </row>
    <row r="41" spans="1:8" s="1" customFormat="1" ht="40.5" customHeight="1">
      <c r="A41" s="28"/>
      <c r="B41" s="24"/>
      <c r="C41" s="76"/>
      <c r="D41" s="77"/>
      <c r="E41" s="77"/>
      <c r="F41" s="78"/>
      <c r="G41" s="46"/>
      <c r="H41" s="59"/>
    </row>
    <row r="42" spans="1:8" s="1" customFormat="1" ht="40.5" customHeight="1">
      <c r="A42" s="28"/>
      <c r="B42" s="24"/>
      <c r="C42" s="95" t="s">
        <v>27</v>
      </c>
      <c r="D42" s="96"/>
      <c r="E42" s="96"/>
      <c r="F42" s="97"/>
      <c r="G42" s="26"/>
      <c r="H42" s="49"/>
    </row>
    <row r="43" spans="1:8" s="1" customFormat="1" ht="40.5" customHeight="1">
      <c r="A43" s="28"/>
      <c r="B43" s="24"/>
      <c r="C43" s="95"/>
      <c r="D43" s="96"/>
      <c r="E43" s="96"/>
      <c r="F43" s="97"/>
      <c r="G43" s="29"/>
      <c r="H43" s="49"/>
    </row>
    <row r="44" spans="1:8" s="1" customFormat="1" ht="40.5" customHeight="1">
      <c r="A44" s="28"/>
      <c r="B44" s="24"/>
      <c r="C44" s="92" t="s">
        <v>30</v>
      </c>
      <c r="D44" s="93"/>
      <c r="E44" s="93"/>
      <c r="F44" s="94"/>
      <c r="G44" s="29"/>
      <c r="H44" s="49"/>
    </row>
    <row r="45" spans="1:8" s="1" customFormat="1" ht="40.5" customHeight="1">
      <c r="A45" s="28"/>
      <c r="B45" s="24"/>
      <c r="C45" s="92"/>
      <c r="D45" s="93"/>
      <c r="E45" s="93"/>
      <c r="F45" s="94"/>
      <c r="G45" s="29"/>
      <c r="H45" s="49"/>
    </row>
    <row r="46" spans="1:8" s="1" customFormat="1" ht="40.5" customHeight="1">
      <c r="A46" s="28"/>
      <c r="B46" s="24"/>
      <c r="C46" s="92"/>
      <c r="D46" s="93"/>
      <c r="E46" s="93"/>
      <c r="F46" s="94"/>
      <c r="G46" s="29"/>
      <c r="H46" s="49"/>
    </row>
    <row r="47" spans="1:8" s="1" customFormat="1" ht="40.5" customHeight="1">
      <c r="A47" s="28"/>
      <c r="B47" s="24"/>
      <c r="C47" s="92"/>
      <c r="D47" s="93"/>
      <c r="E47" s="93"/>
      <c r="F47" s="94"/>
      <c r="G47" s="29"/>
      <c r="H47" s="49"/>
    </row>
    <row r="48" spans="1:8" s="1" customFormat="1" ht="40.5" customHeight="1">
      <c r="A48" s="28"/>
      <c r="B48" s="24"/>
      <c r="C48" s="92"/>
      <c r="D48" s="93"/>
      <c r="E48" s="93"/>
      <c r="F48" s="94"/>
      <c r="G48" s="29"/>
      <c r="H48" s="27"/>
    </row>
    <row r="49" spans="1:18" s="1" customFormat="1" ht="40.5" customHeight="1">
      <c r="A49" s="28"/>
      <c r="B49" s="24"/>
      <c r="C49" s="92"/>
      <c r="D49" s="93"/>
      <c r="E49" s="93"/>
      <c r="F49" s="94"/>
      <c r="G49" s="29"/>
      <c r="H49" s="27"/>
    </row>
    <row r="50" spans="1:18" s="1" customFormat="1" ht="40.5" customHeight="1" thickBot="1">
      <c r="A50" s="28"/>
      <c r="B50" s="25"/>
      <c r="C50" s="40"/>
      <c r="D50" s="40"/>
      <c r="E50" s="40"/>
      <c r="F50" s="41"/>
      <c r="G50" s="29"/>
      <c r="H50" s="47"/>
    </row>
    <row r="51" spans="1:18" s="1" customFormat="1" ht="40.5" customHeight="1">
      <c r="A51" s="28"/>
      <c r="B51" s="25"/>
      <c r="C51" s="68"/>
      <c r="D51" s="69"/>
      <c r="E51" s="69"/>
      <c r="F51" s="70"/>
      <c r="G51" s="29"/>
      <c r="H51" s="27"/>
    </row>
    <row r="52" spans="1:18" s="1" customFormat="1" ht="40.5" customHeight="1">
      <c r="A52" s="28"/>
      <c r="B52" s="25"/>
      <c r="C52" s="68"/>
      <c r="D52" s="69"/>
      <c r="E52" s="69"/>
      <c r="F52" s="70"/>
      <c r="G52" s="29"/>
      <c r="H52" s="27"/>
    </row>
    <row r="53" spans="1:18" s="1" customFormat="1" ht="40.5" customHeight="1">
      <c r="A53" s="28"/>
      <c r="B53" s="25"/>
      <c r="C53" s="68"/>
      <c r="D53" s="69"/>
      <c r="E53" s="69"/>
      <c r="F53" s="70"/>
      <c r="G53" s="29"/>
      <c r="H53" s="27"/>
    </row>
    <row r="54" spans="1:18" s="1" customFormat="1" ht="40.5" customHeight="1">
      <c r="A54" s="28"/>
      <c r="B54" s="41"/>
      <c r="C54" s="68"/>
      <c r="D54" s="69"/>
      <c r="E54" s="69"/>
      <c r="F54" s="70"/>
      <c r="G54" s="29"/>
      <c r="H54" s="27"/>
    </row>
    <row r="55" spans="1:18" s="1" customFormat="1" ht="40.5">
      <c r="A55" s="30"/>
      <c r="B55" s="42"/>
      <c r="C55" s="85"/>
      <c r="D55" s="86"/>
      <c r="E55" s="86"/>
      <c r="F55" s="87"/>
      <c r="G55" s="31"/>
      <c r="H55" s="32"/>
    </row>
    <row r="56" spans="1:18" s="1" customFormat="1" ht="40.5">
      <c r="A56" s="30"/>
      <c r="B56" s="42"/>
      <c r="C56" s="85"/>
      <c r="D56" s="86"/>
      <c r="E56" s="86"/>
      <c r="F56" s="87"/>
      <c r="G56" s="31"/>
      <c r="H56" s="33"/>
      <c r="R56" s="55"/>
    </row>
    <row r="57" spans="1:18" s="1" customFormat="1" ht="40.5">
      <c r="A57" s="30"/>
      <c r="B57" s="42"/>
      <c r="C57" s="85"/>
      <c r="D57" s="86"/>
      <c r="E57" s="86"/>
      <c r="F57" s="87"/>
      <c r="G57" s="31"/>
      <c r="H57" s="33"/>
      <c r="N57" s="1" t="s">
        <v>35</v>
      </c>
    </row>
    <row r="58" spans="1:18" s="1" customFormat="1" ht="40.5">
      <c r="A58" s="30"/>
      <c r="B58" s="42"/>
      <c r="C58" s="85"/>
      <c r="D58" s="86"/>
      <c r="E58" s="86"/>
      <c r="F58" s="87"/>
      <c r="G58" s="31"/>
      <c r="H58" s="33"/>
    </row>
    <row r="59" spans="1:18" s="1" customFormat="1" ht="40.5">
      <c r="A59" s="30"/>
      <c r="B59" s="42"/>
      <c r="C59" s="85"/>
      <c r="D59" s="86"/>
      <c r="E59" s="86"/>
      <c r="F59" s="87"/>
      <c r="G59" s="31"/>
      <c r="H59" s="33"/>
      <c r="P59" s="54"/>
    </row>
    <row r="60" spans="1:18" s="1" customFormat="1" ht="41.25" thickBot="1">
      <c r="A60" s="53"/>
      <c r="B60" s="42"/>
      <c r="C60" s="52"/>
      <c r="D60" s="52"/>
      <c r="E60" s="52"/>
      <c r="F60" s="42"/>
      <c r="G60" s="31"/>
      <c r="H60" s="33"/>
    </row>
    <row r="61" spans="1:18" s="1" customFormat="1" ht="42" thickBot="1">
      <c r="A61" s="83" t="s">
        <v>11</v>
      </c>
      <c r="B61" s="84"/>
      <c r="C61" s="58" t="s">
        <v>10</v>
      </c>
      <c r="D61" s="34" t="s">
        <v>7</v>
      </c>
      <c r="E61" s="81" t="s">
        <v>9</v>
      </c>
      <c r="F61" s="82"/>
      <c r="G61" s="35" t="s">
        <v>8</v>
      </c>
      <c r="H61" s="35" t="s">
        <v>23</v>
      </c>
    </row>
    <row r="62" spans="1:18" s="67" customFormat="1" ht="42" thickBot="1">
      <c r="A62" s="79">
        <f>SUM(H27:H59)</f>
        <v>1680</v>
      </c>
      <c r="B62" s="80"/>
      <c r="C62" s="63"/>
      <c r="D62" s="63"/>
      <c r="E62" s="64"/>
      <c r="F62" s="65"/>
      <c r="G62" s="63">
        <v>117.6</v>
      </c>
      <c r="H62" s="66">
        <f>SUM(H27:H54)-C62+D62+G62</f>
        <v>1797.6</v>
      </c>
    </row>
    <row r="63" spans="1:18" s="1" customFormat="1" ht="34.5">
      <c r="A63" s="4"/>
      <c r="B63" s="5"/>
      <c r="C63" s="5"/>
      <c r="D63" s="5"/>
      <c r="E63" s="5"/>
      <c r="F63" s="6"/>
      <c r="G63" s="7"/>
      <c r="H63" s="6"/>
    </row>
    <row r="64" spans="1:18" s="1" customFormat="1" ht="35.25">
      <c r="A64" s="4"/>
      <c r="B64" s="2" t="s">
        <v>31</v>
      </c>
      <c r="C64" s="6"/>
      <c r="D64" s="6"/>
      <c r="E64" s="6"/>
      <c r="F64" s="6"/>
      <c r="G64" s="8"/>
      <c r="H64" s="6"/>
    </row>
    <row r="65" spans="1:9" s="1" customFormat="1" ht="34.5">
      <c r="A65" s="3"/>
      <c r="B65" s="2" t="s">
        <v>25</v>
      </c>
      <c r="C65" s="2"/>
      <c r="D65" s="2"/>
      <c r="E65" s="2"/>
      <c r="F65" s="2"/>
      <c r="G65" s="2"/>
      <c r="H65" s="2"/>
    </row>
    <row r="66" spans="1:9" s="1" customFormat="1" ht="34.5">
      <c r="A66" s="3"/>
      <c r="B66" s="2"/>
      <c r="C66" s="2"/>
      <c r="D66" s="2"/>
      <c r="E66" s="2"/>
      <c r="F66" s="2"/>
      <c r="G66" s="2"/>
      <c r="H66" s="2"/>
    </row>
    <row r="67" spans="1:9" s="1" customFormat="1" ht="34.5">
      <c r="A67" s="3"/>
      <c r="B67" s="2"/>
      <c r="C67" s="2"/>
      <c r="D67" s="2"/>
      <c r="E67" s="2"/>
      <c r="F67" s="2"/>
      <c r="G67" s="2"/>
      <c r="H67" s="2"/>
    </row>
    <row r="68" spans="1:9" s="1" customFormat="1" ht="34.5">
      <c r="A68" s="3"/>
      <c r="B68" s="2"/>
      <c r="C68" s="2"/>
      <c r="D68" s="2"/>
      <c r="E68" s="2"/>
      <c r="F68" s="2"/>
      <c r="G68" s="2"/>
      <c r="H68" s="2"/>
    </row>
    <row r="69" spans="1:9" s="1" customFormat="1" ht="34.5">
      <c r="A69" s="3"/>
      <c r="B69" s="2"/>
      <c r="C69" s="2"/>
      <c r="D69" s="2"/>
      <c r="E69" s="2"/>
      <c r="F69" s="2"/>
      <c r="G69" s="2"/>
      <c r="H69" s="2"/>
    </row>
    <row r="70" spans="1:9" s="1" customFormat="1" ht="34.5">
      <c r="A70" s="3"/>
      <c r="B70" s="2"/>
      <c r="C70" s="2"/>
      <c r="D70" s="2"/>
      <c r="E70" s="2"/>
      <c r="F70" s="2"/>
      <c r="G70" s="2"/>
      <c r="H70" s="2"/>
    </row>
    <row r="71" spans="1:9" s="1" customFormat="1" ht="34.5">
      <c r="A71" s="3"/>
      <c r="B71" s="2"/>
      <c r="C71" s="2"/>
      <c r="D71" s="2"/>
      <c r="E71" s="2"/>
      <c r="F71" s="2"/>
      <c r="G71" s="2"/>
      <c r="H71" s="2"/>
    </row>
    <row r="72" spans="1:9" s="1" customFormat="1" ht="123" customHeight="1">
      <c r="A72" s="3"/>
      <c r="B72" s="9"/>
      <c r="C72" s="9"/>
      <c r="D72" s="9"/>
      <c r="E72" s="9"/>
      <c r="F72" s="2"/>
      <c r="G72" s="2"/>
      <c r="H72" s="2"/>
    </row>
    <row r="73" spans="1:9" s="1" customFormat="1">
      <c r="A73"/>
      <c r="B73"/>
      <c r="C73"/>
      <c r="D73"/>
      <c r="E73"/>
      <c r="F73"/>
      <c r="G73"/>
      <c r="H73"/>
    </row>
    <row r="74" spans="1:9" s="1" customFormat="1">
      <c r="A74"/>
      <c r="B74"/>
      <c r="C74"/>
      <c r="D74"/>
      <c r="E74"/>
      <c r="F74"/>
      <c r="G74"/>
      <c r="H74"/>
    </row>
    <row r="75" spans="1:9" s="1" customFormat="1" ht="30.75" customHeight="1">
      <c r="A75"/>
      <c r="B75"/>
      <c r="C75"/>
      <c r="D75"/>
      <c r="E75"/>
      <c r="F75"/>
      <c r="G75"/>
      <c r="H75"/>
    </row>
    <row r="76" spans="1:9" s="1" customFormat="1" ht="30.75" customHeight="1">
      <c r="A76"/>
      <c r="B76"/>
      <c r="C76"/>
      <c r="D76"/>
      <c r="E76"/>
      <c r="F76"/>
      <c r="G76"/>
      <c r="H76"/>
    </row>
    <row r="77" spans="1:9" ht="34.5" customHeight="1">
      <c r="A77" s="38"/>
    </row>
    <row r="78" spans="1:9" ht="27.75" customHeight="1">
      <c r="I78" s="39"/>
    </row>
    <row r="79" spans="1:9" ht="27.75" customHeight="1">
      <c r="I79" s="39"/>
    </row>
    <row r="80" spans="1:9" ht="27.75" customHeight="1">
      <c r="I80" s="39"/>
    </row>
    <row r="81" spans="9:9" ht="27.75" customHeight="1">
      <c r="I81" s="39"/>
    </row>
    <row r="82" spans="9:9" ht="45" customHeight="1">
      <c r="I82" s="39"/>
    </row>
    <row r="83" spans="9:9" ht="37.5" customHeight="1"/>
    <row r="84" spans="9:9" ht="20.25" customHeight="1"/>
    <row r="85" spans="9:9" ht="42.75" customHeight="1"/>
    <row r="214" ht="33" customHeight="1"/>
    <row r="543" ht="12.75" customHeight="1"/>
  </sheetData>
  <mergeCells count="28">
    <mergeCell ref="D8:E12"/>
    <mergeCell ref="E24:F24"/>
    <mergeCell ref="C26:F26"/>
    <mergeCell ref="C44:F49"/>
    <mergeCell ref="C42:F43"/>
    <mergeCell ref="C39:F41"/>
    <mergeCell ref="C36:F38"/>
    <mergeCell ref="C27:F28"/>
    <mergeCell ref="A62:B62"/>
    <mergeCell ref="E61:F61"/>
    <mergeCell ref="A61:B61"/>
    <mergeCell ref="C54:F54"/>
    <mergeCell ref="C52:F52"/>
    <mergeCell ref="C53:F53"/>
    <mergeCell ref="C59:F59"/>
    <mergeCell ref="C58:F58"/>
    <mergeCell ref="C57:F57"/>
    <mergeCell ref="C56:F56"/>
    <mergeCell ref="C55:F55"/>
    <mergeCell ref="C51:F51"/>
    <mergeCell ref="G13:J19"/>
    <mergeCell ref="E23:F23"/>
    <mergeCell ref="B13:D19"/>
    <mergeCell ref="A23:B23"/>
    <mergeCell ref="A24:B24"/>
    <mergeCell ref="C30:F31"/>
    <mergeCell ref="C32:F33"/>
    <mergeCell ref="C34:F35"/>
  </mergeCells>
  <phoneticPr fontId="2" type="noConversion"/>
  <hyperlinks>
    <hyperlink ref="A6" r:id="rId1" xr:uid="{00000000-0004-0000-0000-000000000000}"/>
  </hyperlinks>
  <printOptions horizontalCentered="1"/>
  <pageMargins left="0.5" right="0.5" top="0.5" bottom="0.5" header="0.5" footer="0.5"/>
  <pageSetup scale="27" fitToHeight="0" orientation="portrait"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2026-08-27T17:43:51Z</cp:lastPrinted>
  <dcterms:created xsi:type="dcterms:W3CDTF">2000-07-27T22:24:14Z</dcterms:created>
  <dcterms:modified xsi:type="dcterms:W3CDTF">2026-08-31T13:15:19Z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