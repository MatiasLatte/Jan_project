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9040" windowHeight="15720"/>
  </bookViews>
  <sheets>
    <sheet name="Sales Invoice" sheetId="1" r:id="rId1"/>
  </sheets>
  <definedNames>
    <definedName name="_xlnm.Print_Area" localSheetId="0">'Sales Invoice'!$A$1:$I$220</definedName>
  </definedNames>
  <calcPr calcId="144525" refMode="R1C1"/>
</workbook>
</file>

<file path=xl/calcChain.xml><?xml version="1.0" encoding="utf-8"?>
<calcChain xmlns="http://schemas.openxmlformats.org/spreadsheetml/2006/main">
  <c r="C7" i="1" l="1"/>
  <c r="H27" i="1" l="1"/>
  <c r="H60" i="1" l="1"/>
  <c r="A60" i="1" l="1"/>
</calcChain>
</file>

<file path=xl/sharedStrings.xml><?xml version="1.0" encoding="utf-8"?>
<sst xmlns="http://schemas.openxmlformats.org/spreadsheetml/2006/main" count="36" uniqueCount="35">
  <si>
    <t>DATE:</t>
  </si>
  <si>
    <t>SALESPERSON</t>
  </si>
  <si>
    <t>SHIP DATE</t>
  </si>
  <si>
    <t>SHIP VIA</t>
  </si>
  <si>
    <t>TERMS</t>
  </si>
  <si>
    <t>Great Neck NY 11021</t>
  </si>
  <si>
    <t>TRACKING</t>
  </si>
  <si>
    <t>CUSTOMER PO #</t>
  </si>
  <si>
    <t>FREIGHT</t>
  </si>
  <si>
    <t>TAX</t>
  </si>
  <si>
    <t>MISCELLANEOUS</t>
  </si>
  <si>
    <t>DISCOUNT</t>
  </si>
  <si>
    <t>PRODUCT TOTAL</t>
  </si>
  <si>
    <t>COMMENTS OR SPECIAL INSTRUCTIONS:</t>
  </si>
  <si>
    <t>BILL TO:</t>
  </si>
  <si>
    <t>SHIP TO:</t>
  </si>
  <si>
    <t>LINE#</t>
  </si>
  <si>
    <t>QUANTITY</t>
  </si>
  <si>
    <t>DESCRIPTION</t>
  </si>
  <si>
    <t>AMOUNT</t>
  </si>
  <si>
    <t>505 Northern Boulevard Suite 209</t>
  </si>
  <si>
    <t>SD</t>
  </si>
  <si>
    <t xml:space="preserve">For questions contact email mkasteard@nassaunationalcable.com </t>
  </si>
  <si>
    <t>INVOICE TOTAL</t>
  </si>
  <si>
    <t>https://www.nassaunationalcable.com/</t>
  </si>
  <si>
    <t>ITEMS ON THIS INVOICE ARE NON-CANCELLABLE NON-
RETURNABLE</t>
  </si>
  <si>
    <t>PRO FORMA INVOICE</t>
  </si>
  <si>
    <t>PRO FORMA INVOICE #:</t>
  </si>
  <si>
    <t>PLEASE REMIT TO: NASSAU NATIONAL CABLE, 505 NORTHERN BOULEVARD, SUITE 209, GREAT NECK, NY, 11021</t>
  </si>
  <si>
    <t>WIRE</t>
  </si>
  <si>
    <t>Make all checks payable to Nassau National Cable Corporation</t>
  </si>
  <si>
    <t>Phone (516) 482-6313   Fax (516) 960-0589</t>
  </si>
  <si>
    <t>12 AWG 2C SHIELDED VNTC TRAY CABLE TC THHN INSULATION PVC JACKET 600V (5X2500')</t>
  </si>
  <si>
    <t>NNC083126JEC</t>
  </si>
  <si>
    <t>JERRY SCRIVER
122 N GALES ST
PORT ANGELES, WA 98362
UNITED STATES
360-477-4594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</si>
</sst>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s>
  <fonts count="20">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u/>
      <sz val="28"/>
      <color indexed="12"/>
      <name val="Myriad Web Pro"/>
      <family val="2"/>
    </font>
    <font>
      <b/>
      <sz val="32"/>
      <name val="Myriad Web Pro"/>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7">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5" xfId="0" applyNumberFormat="1" applyFont="1" applyFill="1" applyBorder="1" applyAlignment="1">
      <alignment horizontal="center"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44" fontId="10" fillId="0" borderId="8" xfId="2" applyFont="1" applyBorder="1" applyAlignment="1">
      <alignment vertical="center"/>
    </xf>
    <xf numFmtId="44" fontId="10" fillId="0" borderId="5" xfId="2" applyFont="1" applyBorder="1" applyAlignment="1">
      <alignment vertical="center"/>
    </xf>
    <xf numFmtId="0" fontId="13" fillId="0" borderId="0" xfId="0" applyFont="1" applyAlignment="1">
      <alignment horizontal="right"/>
    </xf>
    <xf numFmtId="0" fontId="14" fillId="0" borderId="0" xfId="0" applyFont="1"/>
    <xf numFmtId="0" fontId="15" fillId="0" borderId="0" xfId="0" applyFont="1"/>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0" fillId="0" borderId="1" xfId="1" applyNumberFormat="1" applyFont="1" applyBorder="1" applyAlignment="1">
      <alignment horizontal="center" vertical="center"/>
    </xf>
    <xf numFmtId="8" fontId="10" fillId="0" borderId="5" xfId="2" applyNumberFormat="1" applyFont="1" applyBorder="1" applyAlignment="1">
      <alignment horizontal="center" vertical="center"/>
    </xf>
    <xf numFmtId="8" fontId="10" fillId="0" borderId="6" xfId="2" applyNumberFormat="1" applyFont="1" applyBorder="1" applyAlignment="1">
      <alignment horizontal="center" vertical="center"/>
    </xf>
    <xf numFmtId="8" fontId="10" fillId="0" borderId="1" xfId="2" applyNumberFormat="1" applyFont="1" applyBorder="1" applyAlignment="1">
      <alignment horizontal="center" vertical="center" wrapText="1"/>
    </xf>
    <xf numFmtId="8" fontId="10" fillId="3" borderId="1" xfId="2" applyNumberFormat="1" applyFont="1" applyFill="1" applyBorder="1" applyAlignment="1">
      <alignment horizontal="center" vertical="center" wrapText="1"/>
    </xf>
    <xf numFmtId="8" fontId="10" fillId="0" borderId="8" xfId="2" applyNumberFormat="1" applyFont="1" applyBorder="1" applyAlignment="1">
      <alignment horizontal="center" vertical="center"/>
    </xf>
    <xf numFmtId="8" fontId="11" fillId="3" borderId="10" xfId="0" applyNumberFormat="1" applyFont="1" applyFill="1" applyBorder="1" applyAlignment="1">
      <alignment horizontal="center" vertical="center"/>
    </xf>
    <xf numFmtId="0" fontId="17" fillId="0" borderId="0" xfId="3" applyFont="1" applyAlignment="1" applyProtection="1"/>
    <xf numFmtId="0" fontId="16" fillId="0" borderId="0" xfId="0" applyFont="1" applyAlignment="1">
      <alignment horizontal="left"/>
    </xf>
    <xf numFmtId="0" fontId="16" fillId="0" borderId="0" xfId="0" applyFont="1" applyAlignment="1">
      <alignment horizontal="left" wrapText="1"/>
    </xf>
    <xf numFmtId="0" fontId="11" fillId="0" borderId="0" xfId="0" applyFont="1" applyAlignment="1">
      <alignment vertical="top" wrapText="1"/>
    </xf>
    <xf numFmtId="0" fontId="10" fillId="0" borderId="0" xfId="0" applyFont="1" applyAlignment="1">
      <alignment horizontal="left" vertical="center" wrapText="1"/>
    </xf>
    <xf numFmtId="0" fontId="8" fillId="0" borderId="0" xfId="0" applyFont="1" applyAlignment="1">
      <alignment horizontal="left" vertical="center"/>
    </xf>
    <xf numFmtId="166" fontId="10" fillId="0" borderId="0" xfId="0" applyNumberFormat="1" applyFont="1" applyAlignment="1">
      <alignment horizontal="left" vertical="center" shrinkToFit="1"/>
    </xf>
    <xf numFmtId="0" fontId="10" fillId="0" borderId="0" xfId="0" applyFont="1" applyAlignment="1">
      <alignment horizontal="left" vertical="center"/>
    </xf>
    <xf numFmtId="0" fontId="0" fillId="0" borderId="0" xfId="0" applyAlignment="1">
      <alignment horizontal="left" vertical="center"/>
    </xf>
    <xf numFmtId="3" fontId="10" fillId="0" borderId="1" xfId="1" applyNumberFormat="1" applyFont="1" applyBorder="1" applyAlignment="1">
      <alignment horizontal="center" vertical="center"/>
    </xf>
    <xf numFmtId="0" fontId="10" fillId="0" borderId="2" xfId="2" applyNumberFormat="1" applyFont="1" applyBorder="1" applyAlignment="1">
      <alignment vertical="center" wrapText="1"/>
    </xf>
    <xf numFmtId="0" fontId="10" fillId="0" borderId="0" xfId="2" applyNumberFormat="1" applyFont="1" applyBorder="1" applyAlignment="1">
      <alignment vertical="center" wrapText="1"/>
    </xf>
    <xf numFmtId="0" fontId="10" fillId="0" borderId="3" xfId="2" applyNumberFormat="1" applyFont="1" applyBorder="1" applyAlignment="1">
      <alignment vertical="center" wrapText="1"/>
    </xf>
    <xf numFmtId="0" fontId="10" fillId="0" borderId="0" xfId="0" applyFont="1" applyAlignment="1">
      <alignment vertical="center" wrapText="1"/>
    </xf>
    <xf numFmtId="14" fontId="18" fillId="0" borderId="4" xfId="0" applyNumberFormat="1" applyFont="1" applyBorder="1" applyAlignment="1">
      <alignment horizontal="center" vertical="center" wrapText="1"/>
    </xf>
    <xf numFmtId="0" fontId="18" fillId="4" borderId="7" xfId="0" applyFont="1" applyFill="1" applyBorder="1" applyAlignment="1">
      <alignment horizontal="center" vertical="center" wrapText="1"/>
    </xf>
    <xf numFmtId="0" fontId="10" fillId="0" borderId="4" xfId="0" quotePrefix="1" applyFont="1" applyBorder="1" applyAlignment="1">
      <alignment horizontal="center" vertical="center" wrapText="1"/>
    </xf>
    <xf numFmtId="0" fontId="0" fillId="0" borderId="0" xfId="0" applyAlignment="1">
      <alignment horizont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49" fontId="10" fillId="0" borderId="8"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5" xfId="0" applyFont="1" applyFill="1" applyBorder="1" applyAlignment="1">
      <alignment horizontal="center" vertical="center"/>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8" fillId="0" borderId="2" xfId="2" applyNumberFormat="1" applyFont="1" applyBorder="1" applyAlignment="1">
      <alignment horizontal="center" vertical="center" wrapText="1"/>
    </xf>
    <xf numFmtId="0" fontId="18" fillId="0" borderId="0" xfId="2" applyNumberFormat="1" applyFont="1" applyBorder="1" applyAlignment="1">
      <alignment horizontal="center" vertical="center" wrapText="1"/>
    </xf>
    <xf numFmtId="0" fontId="18" fillId="0" borderId="3" xfId="2" applyNumberFormat="1" applyFont="1" applyBorder="1" applyAlignment="1">
      <alignment horizontal="center" vertical="center" wrapText="1"/>
    </xf>
    <xf numFmtId="0" fontId="19" fillId="0" borderId="2" xfId="2" applyNumberFormat="1" applyFont="1" applyBorder="1" applyAlignment="1">
      <alignment horizontal="center" vertical="center" wrapText="1"/>
    </xf>
    <xf numFmtId="0" fontId="19" fillId="0" borderId="0" xfId="2" applyNumberFormat="1" applyFont="1" applyBorder="1" applyAlignment="1">
      <alignment horizontal="center" vertical="center" wrapText="1"/>
    </xf>
    <xf numFmtId="0" fontId="19" fillId="0" borderId="3" xfId="2" applyNumberFormat="1" applyFont="1" applyBorder="1" applyAlignment="1">
      <alignment horizontal="center" vertical="center" wrapText="1"/>
    </xf>
    <xf numFmtId="0" fontId="10" fillId="0" borderId="2" xfId="2" applyNumberFormat="1" applyFont="1" applyBorder="1" applyAlignment="1">
      <alignment horizontal="center" vertical="center" wrapText="1"/>
    </xf>
    <xf numFmtId="0" fontId="10" fillId="0" borderId="0" xfId="2" applyNumberFormat="1" applyFont="1" applyBorder="1" applyAlignment="1">
      <alignment horizontal="center" vertical="center" wrapText="1"/>
    </xf>
    <xf numFmtId="0" fontId="10" fillId="0" borderId="3" xfId="2" applyNumberFormat="1" applyFont="1" applyBorder="1" applyAlignment="1">
      <alignment horizontal="center" vertical="center" wrapText="1"/>
    </xf>
    <xf numFmtId="0" fontId="10" fillId="0" borderId="12" xfId="2" applyNumberFormat="1" applyFont="1" applyBorder="1" applyAlignment="1">
      <alignment horizontal="center" vertical="center" wrapText="1"/>
    </xf>
    <xf numFmtId="0" fontId="10" fillId="0" borderId="13" xfId="2" applyNumberFormat="1" applyFont="1" applyBorder="1" applyAlignment="1">
      <alignment horizontal="center" vertical="center" wrapText="1"/>
    </xf>
    <xf numFmtId="0" fontId="10" fillId="0" borderId="11" xfId="2" applyNumberFormat="1" applyFont="1" applyBorder="1" applyAlignment="1">
      <alignment horizontal="center" vertical="center" wrapText="1"/>
    </xf>
    <xf numFmtId="0" fontId="11" fillId="0" borderId="0" xfId="0" applyFont="1" applyAlignment="1">
      <alignment horizontal="left" vertical="center" wrapText="1"/>
    </xf>
    <xf numFmtId="0" fontId="16" fillId="0" borderId="0" xfId="0" applyFont="1" applyAlignment="1">
      <alignment horizontal="left" vertical="top" wrapText="1"/>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5" xfId="0" applyFont="1" applyBorder="1" applyAlignment="1">
      <alignment horizontal="center" vertical="center"/>
    </xf>
    <xf numFmtId="44" fontId="10" fillId="0" borderId="8" xfId="0" applyNumberFormat="1" applyFont="1" applyBorder="1" applyAlignment="1">
      <alignment horizontal="center" vertical="center"/>
    </xf>
    <xf numFmtId="44" fontId="10" fillId="0" borderId="5" xfId="0" applyNumberFormat="1"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43" fontId="11" fillId="2" borderId="12" xfId="0" applyNumberFormat="1" applyFont="1" applyFill="1" applyBorder="1" applyAlignment="1">
      <alignment horizontal="center" vertical="center"/>
    </xf>
    <xf numFmtId="43" fontId="11" fillId="2" borderId="11" xfId="0" applyNumberFormat="1" applyFont="1" applyFill="1" applyBorder="1" applyAlignment="1">
      <alignment horizontal="center" vertical="center"/>
    </xf>
    <xf numFmtId="44" fontId="11" fillId="2" borderId="8"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8" fillId="0" borderId="0" xfId="2" applyNumberFormat="1" applyFont="1" applyBorder="1" applyAlignment="1">
      <alignment horizontal="center" vertical="center"/>
    </xf>
    <xf numFmtId="0" fontId="18" fillId="0" borderId="3" xfId="2" applyNumberFormat="1" applyFont="1" applyBorder="1" applyAlignment="1">
      <alignment horizontal="center" vertical="center"/>
    </xf>
    <xf numFmtId="0" fontId="18" fillId="0" borderId="2" xfId="2" applyNumberFormat="1" applyFont="1" applyBorder="1" applyAlignment="1">
      <alignment horizontal="center" vertical="center"/>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inc.com/profile/nassau-national-cable"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64</xdr:row>
      <xdr:rowOff>128587</xdr:rowOff>
    </xdr:from>
    <xdr:to>
      <xdr:col>7</xdr:col>
      <xdr:colOff>2476500</xdr:colOff>
      <xdr:row>68</xdr:row>
      <xdr:rowOff>142875</xdr:rowOff>
    </xdr:to>
    <xdr:sp macro="" textlink="">
      <xdr:nvSpPr>
        <xdr:cNvPr id="1025" name="Text Box 1">
          <a:extLst>
            <a:ext uri="{FF2B5EF4-FFF2-40B4-BE49-F238E27FC236}">
              <a16:creationId xmlns=""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xdr:txBody>
    </xdr:sp>
    <xdr:clientData/>
  </xdr:twoCellAnchor>
  <xdr:twoCellAnchor editAs="oneCell">
    <xdr:from>
      <xdr:col>0</xdr:col>
      <xdr:colOff>126779</xdr:colOff>
      <xdr:row>0</xdr:row>
      <xdr:rowOff>211665</xdr:rowOff>
    </xdr:from>
    <xdr:to>
      <xdr:col>1</xdr:col>
      <xdr:colOff>2910416</xdr:colOff>
      <xdr:row>1</xdr:row>
      <xdr:rowOff>396103</xdr:rowOff>
    </xdr:to>
    <xdr:pic>
      <xdr:nvPicPr>
        <xdr:cNvPr id="4" name="Picture 3">
          <a:hlinkClick xmlns:r="http://schemas.openxmlformats.org/officeDocument/2006/relationships" r:id="rId1"/>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779" y="211665"/>
          <a:ext cx="4212387" cy="1586730"/>
        </a:xfrm>
        <a:prstGeom prst="rect">
          <a:avLst/>
        </a:prstGeom>
      </xdr:spPr>
    </xdr:pic>
    <xdr:clientData/>
  </xdr:twoCellAnchor>
  <xdr:twoCellAnchor>
    <xdr:from>
      <xdr:col>0</xdr:col>
      <xdr:colOff>223837</xdr:colOff>
      <xdr:row>48</xdr:row>
      <xdr:rowOff>338137</xdr:rowOff>
    </xdr:from>
    <xdr:to>
      <xdr:col>6</xdr:col>
      <xdr:colOff>1262060</xdr:colOff>
      <xdr:row>56</xdr:row>
      <xdr:rowOff>357186</xdr:rowOff>
    </xdr:to>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223837" y="25615107"/>
          <a:ext cx="17147381" cy="4114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  </a:t>
          </a:r>
        </a:p>
        <a:p>
          <a:r>
            <a:rPr lang="en-US" sz="2800" baseline="0"/>
            <a:t>ALL QUOTES ARE IN FEET UNLESS OTHERWISE SPECIFIED ON THE BODY OF THE QUOTE.</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a:p>
          <a:r>
            <a:rPr lang="en-US" sz="2800" baseline="0"/>
            <a:t>NASSAU DOES NOT ACCEPT RETURNS AFTER 14 DAYS.  </a:t>
          </a:r>
        </a:p>
        <a:p>
          <a:endParaRPr lang="en-US" sz="2800"/>
        </a:p>
      </xdr:txBody>
    </xdr:sp>
    <xdr:clientData/>
  </xdr:twoCellAnchor>
  <xdr:twoCellAnchor>
    <xdr:from>
      <xdr:col>0</xdr:col>
      <xdr:colOff>370417</xdr:colOff>
      <xdr:row>67</xdr:row>
      <xdr:rowOff>317499</xdr:rowOff>
    </xdr:from>
    <xdr:to>
      <xdr:col>8</xdr:col>
      <xdr:colOff>555625</xdr:colOff>
      <xdr:row>223</xdr:row>
      <xdr:rowOff>52917</xdr:rowOff>
    </xdr:to>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370417" y="34448749"/>
          <a:ext cx="23495000" cy="26008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a:t>INVOICE TERMS</a:t>
          </a:r>
        </a:p>
        <a:p>
          <a:pPr algn="l"/>
          <a:endParaRPr lang="en-US" sz="3200"/>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a:t>
          </a:r>
        </a:p>
        <a:p>
          <a:pPr algn="l"/>
          <a:r>
            <a:rPr lang="en-US" sz="2800" baseline="0"/>
            <a:t>	1. Shipping Details		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p>
        <a:p>
          <a:pPr algn="l"/>
          <a:r>
            <a:rPr lang="en-US" sz="2800" baseline="0"/>
            <a:t>	</a:t>
          </a:r>
        </a:p>
        <a:p>
          <a:pPr algn="l"/>
          <a:r>
            <a:rPr lang="en-US" sz="2800" baseline="0"/>
            <a:t>	2. Taxes 			</a:t>
          </a:r>
          <a:r>
            <a:rPr lang="en-US" sz="2800"/>
            <a:t>Exemptions from taxes or taxes charged are subject to reassessment by taxing authorities and 												exemptions made, or taxes charged to you, are without prejudice to our right to recover from you at 											any subsequent date, taxes improperly exempted or assessed.</a:t>
          </a:r>
          <a:r>
            <a:rPr lang="en-US" sz="2800" baseline="0"/>
            <a:t>	</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Special orders are non-returnable.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ctr"/>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endParaRPr lang="en-US" sz="2800" baseline="0"/>
        </a:p>
        <a:p>
          <a:pPr algn="l"/>
          <a:endParaRPr lang="en-US" sz="2800" baseline="0"/>
        </a:p>
        <a:p>
          <a:pPr algn="l"/>
          <a:r>
            <a:rPr lang="en-US" sz="2800" baseline="0"/>
            <a:t>        .	    		</a:t>
          </a:r>
          <a:r>
            <a:rPr lang="en-US" sz="2800" baseline="0">
              <a:solidFill>
                <a:schemeClr val="dk1"/>
              </a:solidFill>
              <a:latin typeface="+mn-lt"/>
              <a:ea typeface="+mn-ea"/>
              <a:cs typeface="+mn-cs"/>
            </a:rPr>
            <a:t>Prices subject to change at any time without notice due to various factors, including but not limited to geopolitical and	   						governmental laws and regulations.</a:t>
          </a:r>
          <a:br>
            <a:rPr lang="en-US" sz="2800" baseline="0">
              <a:solidFill>
                <a:schemeClr val="dk1"/>
              </a:solidFill>
              <a:latin typeface="+mn-lt"/>
              <a:ea typeface="+mn-ea"/>
              <a:cs typeface="+mn-cs"/>
            </a:rPr>
          </a:br>
          <a:r>
            <a:rPr lang="en-US" sz="2800" baseline="0">
              <a:solidFill>
                <a:schemeClr val="dk1"/>
              </a:solidFill>
              <a:latin typeface="+mn-lt"/>
              <a:ea typeface="+mn-ea"/>
              <a:cs typeface="+mn-cs"/>
            </a:rPr>
            <a:t>											</a:t>
          </a:r>
        </a:p>
      </xdr:txBody>
    </xdr:sp>
    <xdr:clientData/>
  </xdr:twoCellAnchor>
  <xdr:twoCellAnchor editAs="oneCell">
    <xdr:from>
      <xdr:col>6</xdr:col>
      <xdr:colOff>1719792</xdr:colOff>
      <xdr:row>0</xdr:row>
      <xdr:rowOff>1270001</xdr:rowOff>
    </xdr:from>
    <xdr:to>
      <xdr:col>8</xdr:col>
      <xdr:colOff>0</xdr:colOff>
      <xdr:row>8</xdr:row>
      <xdr:rowOff>132293</xdr:rowOff>
    </xdr:to>
    <xdr:pic>
      <xdr:nvPicPr>
        <xdr:cNvPr id="5" name="Picture 4">
          <a:hlinkClick xmlns:r="http://schemas.openxmlformats.org/officeDocument/2006/relationships" r:id="rId3"/>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780000" y="1270001"/>
          <a:ext cx="5529792" cy="41010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28"/>
  <sheetViews>
    <sheetView tabSelected="1" zoomScale="36" zoomScaleNormal="36" workbookViewId="0">
      <selection activeCell="G13" sqref="G13:I21"/>
    </sheetView>
  </sheetViews>
  <sheetFormatPr defaultRowHeight="12.75"/>
  <cols>
    <col min="1" max="1" width="21.5703125" customWidth="1"/>
    <col min="2" max="2" width="51.5703125" customWidth="1"/>
    <col min="3" max="3" width="52.140625" customWidth="1"/>
    <col min="4" max="5" width="36.7109375" customWidth="1"/>
    <col min="6" max="6" width="42.140625" customWidth="1"/>
    <col min="7" max="7" width="57.85546875" customWidth="1"/>
    <col min="8" max="8" width="50.85546875" customWidth="1"/>
  </cols>
  <sheetData>
    <row r="1" spans="1:14" ht="110.25">
      <c r="A1" s="10"/>
      <c r="B1" s="11"/>
      <c r="C1" s="11"/>
      <c r="D1" s="11"/>
      <c r="E1" s="11"/>
      <c r="F1" s="11"/>
      <c r="G1" s="11"/>
      <c r="H1" s="38" t="s">
        <v>26</v>
      </c>
    </row>
    <row r="2" spans="1:14" ht="40.5">
      <c r="A2" s="12"/>
      <c r="B2" s="11"/>
      <c r="C2" s="11"/>
      <c r="D2" s="11"/>
      <c r="E2" s="11"/>
      <c r="F2" s="11"/>
      <c r="G2" s="11"/>
      <c r="H2" s="11"/>
    </row>
    <row r="3" spans="1:14" ht="40.5">
      <c r="A3" s="13" t="s">
        <v>20</v>
      </c>
      <c r="B3" s="11"/>
      <c r="C3" s="13"/>
      <c r="D3" s="13"/>
      <c r="E3" s="13"/>
      <c r="F3" s="13"/>
      <c r="G3" s="13"/>
      <c r="H3" s="13"/>
    </row>
    <row r="4" spans="1:14" ht="40.5">
      <c r="A4" s="13" t="s">
        <v>5</v>
      </c>
      <c r="B4" s="11"/>
      <c r="C4" s="13"/>
      <c r="D4" s="13"/>
      <c r="E4" s="13"/>
      <c r="F4" s="13"/>
      <c r="G4" s="13"/>
      <c r="H4" s="13"/>
    </row>
    <row r="5" spans="1:14" ht="40.5">
      <c r="A5" s="13" t="s">
        <v>31</v>
      </c>
      <c r="B5" s="11"/>
      <c r="C5" s="13"/>
      <c r="D5" s="13"/>
      <c r="E5" s="13"/>
      <c r="F5" s="13"/>
      <c r="G5" s="13"/>
      <c r="H5" s="13"/>
    </row>
    <row r="6" spans="1:14" ht="40.5">
      <c r="A6" s="50" t="s">
        <v>24</v>
      </c>
      <c r="B6" s="11"/>
      <c r="C6" s="13"/>
      <c r="D6" s="13"/>
      <c r="E6" s="13"/>
      <c r="F6" s="13"/>
      <c r="G6" s="13"/>
      <c r="H6" s="13"/>
    </row>
    <row r="7" spans="1:14" s="58" customFormat="1" ht="49.5" customHeight="1">
      <c r="A7" s="35" t="s">
        <v>0</v>
      </c>
      <c r="B7" s="55"/>
      <c r="C7" s="56">
        <f ca="1">TODAY()</f>
        <v>46265</v>
      </c>
      <c r="D7" s="57"/>
      <c r="E7" s="57"/>
      <c r="F7" s="57"/>
      <c r="G7" s="57"/>
      <c r="H7" s="57"/>
    </row>
    <row r="8" spans="1:14" s="58" customFormat="1" ht="54.75" customHeight="1">
      <c r="A8" s="89" t="s">
        <v>27</v>
      </c>
      <c r="B8" s="89"/>
      <c r="C8" s="54" t="s">
        <v>33</v>
      </c>
      <c r="D8" s="54"/>
      <c r="E8" s="54"/>
      <c r="F8" s="54"/>
      <c r="G8" s="54"/>
      <c r="H8" s="57"/>
    </row>
    <row r="9" spans="1:14" ht="41.25" customHeight="1" thickBot="1">
      <c r="A9" s="53"/>
      <c r="B9" s="53"/>
      <c r="C9" s="63"/>
      <c r="D9" s="63"/>
      <c r="E9" s="63"/>
      <c r="F9" s="63"/>
      <c r="G9" s="63"/>
      <c r="H9" s="13"/>
    </row>
    <row r="10" spans="1:14" ht="41.25" thickBot="1">
      <c r="A10" s="13"/>
      <c r="B10" s="91" t="s">
        <v>28</v>
      </c>
      <c r="C10" s="92"/>
      <c r="D10" s="92"/>
      <c r="E10" s="92"/>
      <c r="F10" s="92"/>
      <c r="G10" s="93"/>
      <c r="H10" s="13"/>
    </row>
    <row r="11" spans="1:14" ht="40.5">
      <c r="A11" s="13"/>
      <c r="B11" s="11"/>
      <c r="C11" s="13"/>
      <c r="D11" s="13"/>
      <c r="E11" s="13"/>
      <c r="F11" s="13"/>
      <c r="G11" s="13"/>
      <c r="H11" s="13"/>
    </row>
    <row r="12" spans="1:14" ht="41.25">
      <c r="A12" s="14"/>
      <c r="B12" s="14" t="s">
        <v>14</v>
      </c>
      <c r="C12" s="14"/>
      <c r="D12" s="13"/>
      <c r="E12" s="13"/>
      <c r="G12" s="35" t="s">
        <v>15</v>
      </c>
      <c r="H12" s="13"/>
    </row>
    <row r="13" spans="1:14" ht="41.25" customHeight="1">
      <c r="A13" s="13"/>
      <c r="B13" s="90" t="s">
        <v>34</v>
      </c>
      <c r="C13" s="90"/>
      <c r="D13" s="90"/>
      <c r="E13" s="51"/>
      <c r="F13" s="51"/>
      <c r="G13" s="90" t="s">
        <v>34</v>
      </c>
      <c r="H13" s="90"/>
      <c r="I13" s="90"/>
      <c r="J13" s="51"/>
      <c r="K13" s="51"/>
      <c r="L13" s="51"/>
      <c r="M13" s="51"/>
      <c r="N13" s="51"/>
    </row>
    <row r="14" spans="1:14" ht="40.5">
      <c r="A14" s="13"/>
      <c r="B14" s="90"/>
      <c r="C14" s="90"/>
      <c r="D14" s="90"/>
      <c r="E14" s="51"/>
      <c r="G14" s="90"/>
      <c r="H14" s="90"/>
      <c r="I14" s="90"/>
      <c r="J14" s="51"/>
      <c r="L14" s="51"/>
      <c r="M14" s="51"/>
      <c r="N14" s="51"/>
    </row>
    <row r="15" spans="1:14" ht="40.5" customHeight="1">
      <c r="A15" s="13"/>
      <c r="B15" s="90"/>
      <c r="C15" s="90"/>
      <c r="D15" s="90"/>
      <c r="G15" s="90"/>
      <c r="H15" s="90"/>
      <c r="I15" s="90"/>
      <c r="L15" s="52"/>
      <c r="M15" s="52"/>
      <c r="N15" s="52"/>
    </row>
    <row r="16" spans="1:14" ht="38.25" customHeight="1">
      <c r="A16" s="13"/>
      <c r="B16" s="90"/>
      <c r="C16" s="90"/>
      <c r="D16" s="90"/>
      <c r="E16" s="51"/>
      <c r="F16" s="51"/>
      <c r="G16" s="90"/>
      <c r="H16" s="90"/>
      <c r="I16" s="90"/>
      <c r="J16" s="51"/>
      <c r="K16" s="51"/>
      <c r="L16" s="51"/>
      <c r="M16" s="51"/>
      <c r="N16" s="51"/>
    </row>
    <row r="17" spans="1:14" ht="40.5">
      <c r="A17" s="13"/>
      <c r="B17" s="90"/>
      <c r="C17" s="90"/>
      <c r="D17" s="90"/>
      <c r="G17" s="90"/>
      <c r="H17" s="90"/>
      <c r="I17" s="90"/>
      <c r="L17" s="51"/>
      <c r="M17" s="51"/>
      <c r="N17" s="51"/>
    </row>
    <row r="18" spans="1:14" ht="40.5">
      <c r="A18" s="13"/>
      <c r="B18" s="90"/>
      <c r="C18" s="90"/>
      <c r="D18" s="90"/>
      <c r="G18" s="90"/>
      <c r="H18" s="90"/>
      <c r="I18" s="90"/>
    </row>
    <row r="19" spans="1:14" ht="40.5">
      <c r="A19" s="13"/>
      <c r="B19" s="90"/>
      <c r="C19" s="90"/>
      <c r="D19" s="90"/>
      <c r="E19" s="13"/>
      <c r="F19" s="13"/>
      <c r="G19" s="90"/>
      <c r="H19" s="90"/>
      <c r="I19" s="90"/>
    </row>
    <row r="20" spans="1:14" ht="40.5">
      <c r="A20" s="13"/>
      <c r="B20" s="11"/>
      <c r="C20" s="13"/>
      <c r="D20" s="13"/>
      <c r="E20" s="13"/>
      <c r="F20" s="13"/>
      <c r="G20" s="90"/>
      <c r="H20" s="90"/>
      <c r="I20" s="90"/>
    </row>
    <row r="21" spans="1:14" ht="41.25">
      <c r="A21" s="15" t="s">
        <v>13</v>
      </c>
      <c r="B21" s="11"/>
      <c r="C21" s="13"/>
      <c r="D21" s="16"/>
      <c r="E21" s="16"/>
      <c r="F21" s="16"/>
      <c r="G21" s="90"/>
      <c r="H21" s="90"/>
      <c r="I21" s="90"/>
    </row>
    <row r="22" spans="1:14" ht="42" thickBot="1">
      <c r="A22" s="11"/>
      <c r="B22" s="14"/>
      <c r="C22" s="13"/>
      <c r="D22" s="13"/>
      <c r="E22" s="13"/>
      <c r="F22" s="13"/>
      <c r="G22" s="13"/>
      <c r="H22" s="13"/>
    </row>
    <row r="23" spans="1:14" s="1" customFormat="1" ht="42" thickBot="1">
      <c r="A23" s="72" t="s">
        <v>1</v>
      </c>
      <c r="B23" s="74"/>
      <c r="C23" s="17" t="s">
        <v>7</v>
      </c>
      <c r="D23" s="18" t="s">
        <v>2</v>
      </c>
      <c r="E23" s="72" t="s">
        <v>6</v>
      </c>
      <c r="F23" s="74"/>
      <c r="G23" s="18" t="s">
        <v>3</v>
      </c>
      <c r="H23" s="17" t="s">
        <v>4</v>
      </c>
    </row>
    <row r="24" spans="1:14" s="1" customFormat="1" ht="42" thickBot="1">
      <c r="A24" s="68" t="s">
        <v>21</v>
      </c>
      <c r="B24" s="69"/>
      <c r="C24" s="66"/>
      <c r="D24" s="64"/>
      <c r="E24" s="70"/>
      <c r="F24" s="71"/>
      <c r="G24" s="19"/>
      <c r="H24" s="65" t="s">
        <v>29</v>
      </c>
    </row>
    <row r="25" spans="1:14" ht="20.25" customHeight="1" thickBot="1">
      <c r="A25" s="20"/>
      <c r="B25" s="13"/>
      <c r="C25" s="13"/>
      <c r="D25" s="13"/>
      <c r="E25" s="13"/>
      <c r="F25" s="13"/>
      <c r="G25" s="13"/>
      <c r="H25" s="21"/>
    </row>
    <row r="26" spans="1:14" s="1" customFormat="1" ht="42" thickBot="1">
      <c r="A26" s="18" t="s">
        <v>16</v>
      </c>
      <c r="B26" s="17" t="s">
        <v>17</v>
      </c>
      <c r="C26" s="72" t="s">
        <v>18</v>
      </c>
      <c r="D26" s="73"/>
      <c r="E26" s="73"/>
      <c r="F26" s="74"/>
      <c r="G26" s="18"/>
      <c r="H26" s="18" t="s">
        <v>19</v>
      </c>
    </row>
    <row r="27" spans="1:14" s="1" customFormat="1" ht="44.25" customHeight="1">
      <c r="A27" s="22">
        <v>1</v>
      </c>
      <c r="B27" s="59">
        <v>12500</v>
      </c>
      <c r="C27" s="86" t="s">
        <v>32</v>
      </c>
      <c r="D27" s="87"/>
      <c r="E27" s="87"/>
      <c r="F27" s="88"/>
      <c r="G27" s="46">
        <v>0.75</v>
      </c>
      <c r="H27" s="47">
        <f>B27*G27</f>
        <v>9375</v>
      </c>
    </row>
    <row r="28" spans="1:14" s="1" customFormat="1" ht="45" customHeight="1">
      <c r="A28" s="22"/>
      <c r="B28" s="59"/>
      <c r="C28" s="83"/>
      <c r="D28" s="84"/>
      <c r="E28" s="84"/>
      <c r="F28" s="85"/>
      <c r="G28" s="46"/>
      <c r="H28" s="47"/>
    </row>
    <row r="29" spans="1:14" s="1" customFormat="1" ht="45" customHeight="1">
      <c r="A29" s="22"/>
      <c r="B29" s="59"/>
      <c r="C29" s="83"/>
      <c r="D29" s="84"/>
      <c r="E29" s="84"/>
      <c r="F29" s="85"/>
      <c r="G29" s="46"/>
      <c r="H29" s="47"/>
    </row>
    <row r="30" spans="1:14" s="1" customFormat="1" ht="40.5" customHeight="1">
      <c r="A30" s="22"/>
      <c r="B30" s="43"/>
      <c r="C30" s="83"/>
      <c r="D30" s="84"/>
      <c r="E30" s="84"/>
      <c r="F30" s="85"/>
      <c r="G30" s="46"/>
      <c r="H30" s="47"/>
    </row>
    <row r="31" spans="1:14" s="1" customFormat="1" ht="40.5" customHeight="1">
      <c r="A31" s="22"/>
      <c r="B31" s="23"/>
      <c r="C31" s="80"/>
      <c r="D31" s="81"/>
      <c r="E31" s="81"/>
      <c r="F31" s="82"/>
      <c r="G31" s="46"/>
      <c r="H31" s="47"/>
    </row>
    <row r="32" spans="1:14" s="1" customFormat="1" ht="40.5" customHeight="1">
      <c r="A32" s="22"/>
      <c r="B32" s="23"/>
      <c r="C32" s="80"/>
      <c r="D32" s="81"/>
      <c r="E32" s="81"/>
      <c r="F32" s="82"/>
      <c r="G32" s="46"/>
      <c r="H32" s="47"/>
    </row>
    <row r="33" spans="1:8" s="1" customFormat="1" ht="40.5" customHeight="1">
      <c r="A33" s="26"/>
      <c r="B33" s="23"/>
      <c r="C33" s="80"/>
      <c r="D33" s="81"/>
      <c r="E33" s="81"/>
      <c r="F33" s="82"/>
      <c r="G33" s="46"/>
      <c r="H33" s="47"/>
    </row>
    <row r="34" spans="1:8" s="1" customFormat="1" ht="41.25" customHeight="1">
      <c r="A34" s="26"/>
      <c r="B34" s="23"/>
      <c r="C34" s="80"/>
      <c r="D34" s="81"/>
      <c r="E34" s="81"/>
      <c r="F34" s="82"/>
      <c r="G34" s="46"/>
      <c r="H34" s="47"/>
    </row>
    <row r="35" spans="1:8" s="1" customFormat="1" ht="40.5" customHeight="1">
      <c r="A35" s="26"/>
      <c r="B35" s="23"/>
      <c r="C35" s="80"/>
      <c r="D35" s="81"/>
      <c r="E35" s="81"/>
      <c r="F35" s="82"/>
      <c r="G35" s="46"/>
      <c r="H35" s="47"/>
    </row>
    <row r="36" spans="1:8" s="1" customFormat="1" ht="40.5" customHeight="1">
      <c r="A36" s="26"/>
      <c r="B36" s="23"/>
      <c r="C36" s="80"/>
      <c r="D36" s="81"/>
      <c r="E36" s="81"/>
      <c r="F36" s="82"/>
      <c r="G36" s="46"/>
      <c r="H36" s="47"/>
    </row>
    <row r="37" spans="1:8" s="1" customFormat="1" ht="40.5" customHeight="1">
      <c r="A37" s="26"/>
      <c r="B37" s="23"/>
      <c r="C37" s="80"/>
      <c r="D37" s="81"/>
      <c r="E37" s="81"/>
      <c r="F37" s="82"/>
      <c r="G37" s="46"/>
      <c r="H37" s="47"/>
    </row>
    <row r="38" spans="1:8" s="1" customFormat="1" ht="40.5" customHeight="1">
      <c r="A38" s="26"/>
      <c r="B38" s="23"/>
      <c r="C38" s="80"/>
      <c r="D38" s="81"/>
      <c r="E38" s="81"/>
      <c r="F38" s="82"/>
      <c r="G38" s="46"/>
      <c r="H38" s="47"/>
    </row>
    <row r="39" spans="1:8" s="1" customFormat="1" ht="40.5" customHeight="1">
      <c r="A39" s="26"/>
      <c r="B39" s="23"/>
      <c r="C39" s="83"/>
      <c r="D39" s="84"/>
      <c r="E39" s="84"/>
      <c r="F39" s="85"/>
      <c r="G39" s="46"/>
      <c r="H39" s="47"/>
    </row>
    <row r="40" spans="1:8" s="1" customFormat="1" ht="40.5">
      <c r="A40" s="26"/>
      <c r="B40" s="23"/>
      <c r="C40" s="83"/>
      <c r="D40" s="84"/>
      <c r="E40" s="84"/>
      <c r="F40" s="85"/>
      <c r="G40" s="46"/>
      <c r="H40" s="47"/>
    </row>
    <row r="41" spans="1:8" s="1" customFormat="1" ht="41.25">
      <c r="A41" s="26"/>
      <c r="B41" s="23"/>
      <c r="C41" s="77"/>
      <c r="D41" s="78"/>
      <c r="E41" s="78"/>
      <c r="F41" s="79"/>
      <c r="G41" s="24"/>
      <c r="H41" s="25"/>
    </row>
    <row r="42" spans="1:8" s="1" customFormat="1" ht="40.5">
      <c r="A42" s="26"/>
      <c r="B42" s="23"/>
      <c r="C42" s="60"/>
      <c r="D42" s="61"/>
      <c r="E42" s="61"/>
      <c r="F42" s="62"/>
      <c r="G42" s="24"/>
      <c r="H42" s="25"/>
    </row>
    <row r="43" spans="1:8" s="1" customFormat="1" ht="40.5">
      <c r="A43" s="26"/>
      <c r="B43" s="23"/>
      <c r="C43" s="60"/>
      <c r="D43" s="61"/>
      <c r="E43" s="61"/>
      <c r="F43" s="62"/>
      <c r="G43" s="27"/>
      <c r="H43" s="25"/>
    </row>
    <row r="44" spans="1:8" s="1" customFormat="1" ht="40.5">
      <c r="A44" s="26"/>
      <c r="B44" s="23"/>
      <c r="C44" s="75"/>
      <c r="D44" s="75"/>
      <c r="E44" s="75"/>
      <c r="F44" s="76"/>
      <c r="G44" s="27"/>
      <c r="H44" s="25"/>
    </row>
    <row r="45" spans="1:8" s="1" customFormat="1" ht="41.25">
      <c r="A45" s="26"/>
      <c r="B45" s="23"/>
      <c r="C45" s="104"/>
      <c r="D45" s="104"/>
      <c r="E45" s="104"/>
      <c r="F45" s="105"/>
      <c r="G45" s="27"/>
      <c r="H45" s="25"/>
    </row>
    <row r="46" spans="1:8" s="1" customFormat="1" ht="40.5">
      <c r="A46" s="26"/>
      <c r="B46" s="23"/>
      <c r="C46" s="77" t="s">
        <v>25</v>
      </c>
      <c r="D46" s="104"/>
      <c r="E46" s="104"/>
      <c r="F46" s="105"/>
      <c r="G46" s="27"/>
      <c r="H46" s="25"/>
    </row>
    <row r="47" spans="1:8" s="1" customFormat="1" ht="40.5">
      <c r="A47" s="26"/>
      <c r="B47" s="23"/>
      <c r="C47" s="106"/>
      <c r="D47" s="104"/>
      <c r="E47" s="104"/>
      <c r="F47" s="105"/>
      <c r="G47" s="27"/>
      <c r="H47" s="25"/>
    </row>
    <row r="48" spans="1:8" s="1" customFormat="1" ht="40.5">
      <c r="A48" s="26"/>
      <c r="B48" s="23"/>
      <c r="C48" s="106"/>
      <c r="D48" s="104"/>
      <c r="E48" s="104"/>
      <c r="F48" s="105"/>
      <c r="G48" s="27"/>
      <c r="H48" s="25"/>
    </row>
    <row r="49" spans="1:8" s="1" customFormat="1" ht="40.5">
      <c r="A49" s="26"/>
      <c r="B49" s="23"/>
      <c r="C49" s="75"/>
      <c r="D49" s="75"/>
      <c r="E49" s="75"/>
      <c r="F49" s="76"/>
      <c r="G49" s="27"/>
      <c r="H49" s="25"/>
    </row>
    <row r="50" spans="1:8" s="1" customFormat="1" ht="40.5">
      <c r="A50" s="26"/>
      <c r="B50" s="23"/>
      <c r="C50" s="75"/>
      <c r="D50" s="75"/>
      <c r="E50" s="75"/>
      <c r="F50" s="76"/>
      <c r="G50" s="27"/>
      <c r="H50" s="25"/>
    </row>
    <row r="51" spans="1:8" s="1" customFormat="1" ht="40.5">
      <c r="A51" s="26"/>
      <c r="B51" s="23"/>
      <c r="C51" s="75"/>
      <c r="D51" s="75"/>
      <c r="E51" s="75"/>
      <c r="F51" s="76"/>
      <c r="G51" s="27"/>
      <c r="H51" s="25"/>
    </row>
    <row r="52" spans="1:8" s="1" customFormat="1" ht="40.5">
      <c r="A52" s="26"/>
      <c r="B52" s="41"/>
      <c r="C52" s="75"/>
      <c r="D52" s="75"/>
      <c r="E52" s="75"/>
      <c r="F52" s="76"/>
      <c r="G52" s="27"/>
      <c r="H52" s="25"/>
    </row>
    <row r="53" spans="1:8" s="1" customFormat="1" ht="40.5">
      <c r="A53" s="28"/>
      <c r="B53" s="42"/>
      <c r="C53" s="96"/>
      <c r="D53" s="96"/>
      <c r="E53" s="96"/>
      <c r="F53" s="97"/>
      <c r="G53" s="29"/>
      <c r="H53" s="30"/>
    </row>
    <row r="54" spans="1:8" s="1" customFormat="1" ht="40.5">
      <c r="A54" s="28"/>
      <c r="B54" s="42"/>
      <c r="C54" s="96"/>
      <c r="D54" s="96"/>
      <c r="E54" s="96"/>
      <c r="F54" s="97"/>
      <c r="G54" s="29"/>
      <c r="H54" s="31"/>
    </row>
    <row r="55" spans="1:8" s="1" customFormat="1" ht="40.5">
      <c r="A55" s="28"/>
      <c r="B55" s="42"/>
      <c r="C55" s="96"/>
      <c r="D55" s="96"/>
      <c r="E55" s="96"/>
      <c r="F55" s="97"/>
      <c r="G55" s="29"/>
      <c r="H55" s="31"/>
    </row>
    <row r="56" spans="1:8" s="1" customFormat="1" ht="40.5">
      <c r="A56" s="28"/>
      <c r="B56" s="42"/>
      <c r="C56" s="96"/>
      <c r="D56" s="96"/>
      <c r="E56" s="96"/>
      <c r="F56" s="97"/>
      <c r="G56" s="29"/>
      <c r="H56" s="31"/>
    </row>
    <row r="57" spans="1:8" s="1" customFormat="1" ht="40.5">
      <c r="A57" s="28"/>
      <c r="B57" s="42"/>
      <c r="C57" s="96"/>
      <c r="D57" s="96"/>
      <c r="E57" s="96"/>
      <c r="F57" s="97"/>
      <c r="G57" s="29"/>
      <c r="H57" s="31"/>
    </row>
    <row r="58" spans="1:8" s="1" customFormat="1" ht="41.25" thickBot="1">
      <c r="A58" s="28"/>
      <c r="B58" s="42"/>
      <c r="C58" s="98"/>
      <c r="D58" s="98"/>
      <c r="E58" s="98"/>
      <c r="F58" s="99"/>
      <c r="G58" s="29"/>
      <c r="H58" s="31"/>
    </row>
    <row r="59" spans="1:8" s="1" customFormat="1" ht="42" thickBot="1">
      <c r="A59" s="102" t="s">
        <v>12</v>
      </c>
      <c r="B59" s="103"/>
      <c r="C59" s="32" t="s">
        <v>11</v>
      </c>
      <c r="D59" s="33" t="s">
        <v>8</v>
      </c>
      <c r="E59" s="100" t="s">
        <v>10</v>
      </c>
      <c r="F59" s="101"/>
      <c r="G59" s="34" t="s">
        <v>9</v>
      </c>
      <c r="H59" s="34" t="s">
        <v>23</v>
      </c>
    </row>
    <row r="60" spans="1:8" s="1" customFormat="1" ht="42" thickBot="1">
      <c r="A60" s="94">
        <f>SUM(H27:H58)</f>
        <v>9375</v>
      </c>
      <c r="B60" s="95"/>
      <c r="C60" s="44">
        <v>0</v>
      </c>
      <c r="D60" s="48">
        <v>0</v>
      </c>
      <c r="E60" s="36"/>
      <c r="F60" s="37"/>
      <c r="G60" s="45">
        <v>0</v>
      </c>
      <c r="H60" s="49">
        <f>SUM(H27:H52)-C60+D60+G60</f>
        <v>9375</v>
      </c>
    </row>
    <row r="61" spans="1:8" s="1" customFormat="1" ht="9.75" customHeight="1">
      <c r="A61" s="4"/>
      <c r="B61" s="5"/>
      <c r="C61" s="5"/>
      <c r="D61" s="5"/>
      <c r="E61" s="5"/>
      <c r="F61" s="6"/>
      <c r="G61" s="7"/>
      <c r="H61" s="6"/>
    </row>
    <row r="62" spans="1:8" s="1" customFormat="1" ht="30.75" customHeight="1">
      <c r="A62" s="4"/>
      <c r="B62" s="5"/>
      <c r="C62" s="5"/>
      <c r="D62" s="5"/>
      <c r="E62" s="5"/>
      <c r="F62" s="6"/>
      <c r="G62" s="7"/>
      <c r="H62" s="6"/>
    </row>
    <row r="63" spans="1:8" s="1" customFormat="1" ht="30.75" customHeight="1">
      <c r="A63" s="4"/>
      <c r="B63" s="2" t="s">
        <v>30</v>
      </c>
      <c r="C63" s="6"/>
      <c r="D63" s="6"/>
      <c r="E63" s="6"/>
      <c r="F63" s="6"/>
      <c r="G63" s="8"/>
      <c r="H63" s="6"/>
    </row>
    <row r="64" spans="1:8" ht="34.5" customHeight="1">
      <c r="A64" s="3"/>
      <c r="B64" s="2" t="s">
        <v>22</v>
      </c>
      <c r="C64" s="2"/>
      <c r="D64" s="2"/>
      <c r="E64" s="2"/>
      <c r="F64" s="2"/>
      <c r="G64" s="2"/>
      <c r="H64" s="2"/>
    </row>
    <row r="65" spans="1:9" ht="27.75" customHeight="1">
      <c r="A65" s="3"/>
      <c r="B65" s="2"/>
      <c r="C65" s="2"/>
      <c r="D65" s="2"/>
      <c r="E65" s="2"/>
      <c r="F65" s="2"/>
      <c r="G65" s="2"/>
      <c r="H65" s="2"/>
      <c r="I65" s="40"/>
    </row>
    <row r="66" spans="1:9" ht="27.75" customHeight="1">
      <c r="A66" s="3"/>
      <c r="B66" s="2"/>
      <c r="C66" s="2"/>
      <c r="D66" s="2"/>
      <c r="E66" s="2"/>
      <c r="F66" s="2"/>
      <c r="G66" s="2"/>
      <c r="H66" s="2"/>
      <c r="I66" s="40"/>
    </row>
    <row r="67" spans="1:9" ht="27.75" customHeight="1">
      <c r="A67" s="3"/>
      <c r="B67" s="2"/>
      <c r="C67" s="2"/>
      <c r="D67" s="2"/>
      <c r="E67" s="2"/>
      <c r="F67" s="2"/>
      <c r="G67" s="2"/>
      <c r="H67" s="2"/>
      <c r="I67" s="40"/>
    </row>
    <row r="68" spans="1:9" ht="27.75" customHeight="1">
      <c r="A68" s="3"/>
      <c r="B68" s="2"/>
      <c r="C68" s="2"/>
      <c r="D68" s="2"/>
      <c r="E68" s="2"/>
      <c r="F68" s="2"/>
      <c r="G68" s="2"/>
      <c r="H68" s="2"/>
      <c r="I68" s="40"/>
    </row>
    <row r="69" spans="1:9" ht="45" customHeight="1">
      <c r="A69" s="3"/>
      <c r="B69" s="2"/>
      <c r="C69" s="2"/>
      <c r="D69" s="2"/>
      <c r="E69" s="2"/>
      <c r="F69" s="2"/>
      <c r="G69" s="2"/>
      <c r="H69" s="2"/>
      <c r="I69" s="40"/>
    </row>
    <row r="70" spans="1:9" ht="34.5">
      <c r="A70" s="3"/>
      <c r="B70" s="2"/>
      <c r="C70" s="2"/>
      <c r="D70" s="2"/>
      <c r="E70" s="2"/>
      <c r="F70" s="2"/>
      <c r="G70" s="2"/>
      <c r="H70" s="2"/>
    </row>
    <row r="71" spans="1:9" ht="34.5">
      <c r="A71" s="3"/>
      <c r="B71" s="2"/>
      <c r="C71" s="2"/>
      <c r="D71" s="2"/>
      <c r="E71" s="2"/>
      <c r="F71" s="2"/>
      <c r="G71" s="2"/>
      <c r="H71" s="2"/>
    </row>
    <row r="72" spans="1:9" ht="35.25">
      <c r="A72" s="3"/>
      <c r="B72" s="9"/>
      <c r="C72" s="9"/>
      <c r="D72" s="9"/>
      <c r="E72" s="9"/>
      <c r="F72" s="2"/>
      <c r="G72" s="2"/>
      <c r="H72" s="2"/>
    </row>
    <row r="77" spans="1:9" ht="15">
      <c r="A77" s="39"/>
    </row>
    <row r="128" spans="17:17">
      <c r="Q128" s="67"/>
    </row>
  </sheetData>
  <mergeCells count="35">
    <mergeCell ref="C45:F45"/>
    <mergeCell ref="C33:F34"/>
    <mergeCell ref="C35:F36"/>
    <mergeCell ref="C52:F52"/>
    <mergeCell ref="C50:F50"/>
    <mergeCell ref="C49:F49"/>
    <mergeCell ref="C51:F51"/>
    <mergeCell ref="C46:F48"/>
    <mergeCell ref="A60:B60"/>
    <mergeCell ref="C53:F53"/>
    <mergeCell ref="C58:F58"/>
    <mergeCell ref="C54:F54"/>
    <mergeCell ref="C55:F55"/>
    <mergeCell ref="C56:F56"/>
    <mergeCell ref="C57:F57"/>
    <mergeCell ref="E59:F59"/>
    <mergeCell ref="A59:B59"/>
    <mergeCell ref="A8:B8"/>
    <mergeCell ref="E23:F23"/>
    <mergeCell ref="A23:B23"/>
    <mergeCell ref="B13:D19"/>
    <mergeCell ref="G13:I21"/>
    <mergeCell ref="B10:G10"/>
    <mergeCell ref="A24:B24"/>
    <mergeCell ref="E24:F24"/>
    <mergeCell ref="C26:F26"/>
    <mergeCell ref="C44:F44"/>
    <mergeCell ref="C41:F41"/>
    <mergeCell ref="C31:F31"/>
    <mergeCell ref="C32:F32"/>
    <mergeCell ref="C37:F38"/>
    <mergeCell ref="C39:F40"/>
    <mergeCell ref="C29:F29"/>
    <mergeCell ref="C30:F30"/>
    <mergeCell ref="C27:F28"/>
  </mergeCells>
  <phoneticPr fontId="2" type="noConversion"/>
  <hyperlinks>
    <hyperlink ref="A6" r:id="rId1"/>
  </hyperlinks>
  <printOptions horizontalCentered="1"/>
  <pageMargins left="0.5" right="0.5" top="0.5" bottom="0.5" header="0.5" footer="0.5"/>
  <pageSetup scale="27" fitToHeight="0" orientation="portrait" horizontalDpi="4294967293" verticalDpi="4294967293"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2026-08-27T17:50:23Z</cp:lastPrinted>
  <dcterms:created xsi:type="dcterms:W3CDTF">2000-07-27T22:24:14Z</dcterms:created>
  <dcterms:modified xsi:type="dcterms:W3CDTF">2026-08-31T17:30:35Z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